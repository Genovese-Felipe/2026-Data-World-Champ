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Checkpoints" sheetId="2" state="visible" r:id="rId2"/>
    <sheet name="Inputs &amp; Sources" sheetId="3" state="visible" r:id="rId3"/>
    <sheet name="Elo Trend (36mo)" sheetId="4" state="visible" r:id="rId4"/>
    <sheet name="Right vs Wrong" sheetId="5" state="visible" r:id="rId5"/>
  </sheets>
  <definedNames/>
  <calcPr calcId="124519" fullCalcOnLoad="1"/>
</workbook>
</file>

<file path=xl/styles.xml><?xml version="1.0" encoding="utf-8"?>
<styleSheet xmlns="http://schemas.openxmlformats.org/spreadsheetml/2006/main">
  <numFmts count="2">
    <numFmt numFmtId="164" formatCode="0.0%"/>
    <numFmt numFmtId="165" formatCode="0.0000"/>
  </numFmts>
  <fonts count="22">
    <font>
      <name val="Calibri"/>
      <family val="2"/>
      <color theme="1"/>
      <sz val="11"/>
      <scheme val="minor"/>
    </font>
    <font>
      <name val="Arial"/>
      <b val="1"/>
      <color rgb="001F2937"/>
      <sz val="14"/>
    </font>
    <font>
      <name val="Arial"/>
      <color rgb="00666666"/>
      <sz val="11"/>
    </font>
    <font>
      <name val="Arial"/>
      <b val="1"/>
    </font>
    <font>
      <name val="Arial"/>
      <b val="1"/>
      <color rgb="002A78D6"/>
    </font>
    <font>
      <name val="Arial"/>
      <b val="1"/>
      <color rgb="00FFFFFF"/>
      <sz val="10"/>
    </font>
    <font>
      <name val="Arial"/>
      <color rgb="00000000"/>
      <sz val="10"/>
    </font>
    <font>
      <name val="Arial"/>
      <color rgb="000000FF"/>
      <sz val="10"/>
    </font>
    <font>
      <name val="Arial"/>
      <i val="1"/>
    </font>
    <font>
      <name val="Arial"/>
      <i val="1"/>
      <color rgb="00666666"/>
    </font>
    <font>
      <name val="Arial"/>
      <b val="1"/>
      <sz val="9"/>
    </font>
    <font>
      <name val="Arial"/>
      <i val="1"/>
      <color rgb="00666666"/>
      <sz val="9"/>
    </font>
    <font>
      <name val="Arial"/>
      <sz val="10"/>
    </font>
    <font>
      <name val="Arial"/>
      <b val="1"/>
      <sz val="10"/>
    </font>
    <font>
      <name val="Arial"/>
      <b val="1"/>
      <color rgb="002A78D6"/>
      <sz val="10"/>
    </font>
    <font>
      <name val="Arial"/>
      <color rgb="00444444"/>
      <sz val="9"/>
    </font>
    <font>
      <name val="Arial"/>
      <b val="1"/>
      <color rgb="001B8A3A"/>
      <sz val="9.5"/>
    </font>
    <font>
      <name val="Arial"/>
      <sz val="9.5"/>
    </font>
    <font>
      <name val="Arial"/>
      <b val="1"/>
      <color rgb="008A7A1B"/>
      <sz val="9.5"/>
    </font>
    <font>
      <name val="Arial"/>
      <b val="1"/>
      <color rgb="00666666"/>
      <sz val="9.5"/>
    </font>
    <font>
      <name val="Arial"/>
      <b val="1"/>
      <color rgb="00C0392B"/>
      <sz val="9.5"/>
    </font>
    <font>
      <name val="Arial"/>
      <b val="1"/>
      <color rgb="002A78D6"/>
      <sz val="9.5"/>
    </font>
  </fonts>
  <fills count="3">
    <fill>
      <patternFill/>
    </fill>
    <fill>
      <patternFill patternType="gray125"/>
    </fill>
    <fill>
      <patternFill patternType="solid">
        <fgColor rgb="001F2937"/>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0" fillId="0" borderId="0" applyAlignment="1" pivotButton="0" quotePrefix="0" xfId="0">
      <alignment wrapText="1"/>
    </xf>
    <xf numFmtId="0" fontId="5" fillId="2" borderId="1" applyAlignment="1" pivotButton="0" quotePrefix="0" xfId="0">
      <alignment horizontal="center" vertical="center" wrapText="1"/>
    </xf>
    <xf numFmtId="0" fontId="6" fillId="0" borderId="1" pivotButton="0" quotePrefix="0" xfId="0"/>
    <xf numFmtId="164" fontId="7" fillId="0" borderId="1" pivotButton="0" quotePrefix="0" xfId="0"/>
    <xf numFmtId="164" fontId="6" fillId="0" borderId="1" pivotButton="0" quotePrefix="0" xfId="0"/>
    <xf numFmtId="165" fontId="6" fillId="0" borderId="1" pivotButton="0" quotePrefix="0" xfId="0"/>
    <xf numFmtId="0" fontId="8" fillId="0" borderId="0" pivotButton="0" quotePrefix="0" xfId="0"/>
    <xf numFmtId="165" fontId="9" fillId="0" borderId="0" pivotButton="0" quotePrefix="0" xfId="0"/>
    <xf numFmtId="0" fontId="10" fillId="0" borderId="0" pivotButton="0" quotePrefix="0" xfId="0"/>
    <xf numFmtId="0" fontId="11" fillId="0" borderId="0" applyAlignment="1" pivotButton="0" quotePrefix="0" xfId="0">
      <alignment wrapText="1"/>
    </xf>
    <xf numFmtId="0" fontId="12" fillId="0" borderId="1" pivotButton="0" quotePrefix="0" xfId="0"/>
    <xf numFmtId="0" fontId="13" fillId="0" borderId="1" pivotButton="0" quotePrefix="0" xfId="0"/>
    <xf numFmtId="164" fontId="14" fillId="0" borderId="1" pivotButton="0" quotePrefix="0" xfId="0"/>
    <xf numFmtId="0" fontId="11" fillId="0" borderId="0" pivotButton="0" quotePrefix="0" xfId="0"/>
    <xf numFmtId="0" fontId="7" fillId="0" borderId="1" pivotButton="0" quotePrefix="0" xfId="0"/>
    <xf numFmtId="0" fontId="15" fillId="0" borderId="1" applyAlignment="1" pivotButton="0" quotePrefix="0" xfId="0">
      <alignment wrapText="1"/>
    </xf>
    <xf numFmtId="0" fontId="15" fillId="0" borderId="1" pivotButton="0" quotePrefix="0" xfId="0"/>
    <xf numFmtId="0" fontId="16" fillId="0" borderId="1" pivotButton="0" quotePrefix="0" xfId="0"/>
    <xf numFmtId="0" fontId="17" fillId="0" borderId="1" applyAlignment="1" pivotButton="0" quotePrefix="0" xfId="0">
      <alignment wrapText="1"/>
    </xf>
    <xf numFmtId="0" fontId="18" fillId="0" borderId="1" pivotButton="0" quotePrefix="0" xfId="0"/>
    <xf numFmtId="0" fontId="19" fillId="0" borderId="1" pivotButton="0" quotePrefix="0" xfId="0"/>
    <xf numFmtId="0" fontId="20" fillId="0" borderId="1" pivotButton="0" quotePrefix="0" xfId="0"/>
    <xf numFmtId="0" fontId="21"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H17"/>
  <sheetViews>
    <sheetView workbookViewId="0">
      <selection activeCell="A1" sqref="A1"/>
    </sheetView>
  </sheetViews>
  <sheetFormatPr baseColWidth="8" defaultRowHeight="15"/>
  <cols>
    <col width="3" customWidth="1" min="1" max="1"/>
    <col width="16" customWidth="1" min="2" max="2"/>
    <col width="14" customWidth="1" min="3" max="3"/>
    <col width="13" customWidth="1" min="4" max="4"/>
    <col width="15" customWidth="1" min="5" max="5"/>
    <col width="12" customWidth="1" min="6" max="6"/>
    <col width="10" customWidth="1" min="7" max="7"/>
    <col width="11" customWidth="1" min="8" max="8"/>
  </cols>
  <sheetData>
    <row r="2">
      <c r="B2" s="1" t="inlineStr">
        <is>
          <t>2026 FIFA World Cup Final — Prediction-Performance Dossier</t>
        </is>
      </c>
    </row>
    <row r="3">
      <c r="B3" s="2" t="inlineStr">
        <is>
          <t>Spain vs Argentina · MetLife Stadium · 19 July 2026</t>
        </is>
      </c>
    </row>
    <row r="5">
      <c r="B5" s="3" t="inlineStr">
        <is>
          <t>Final result:</t>
        </is>
      </c>
      <c r="C5" s="4" t="inlineStr">
        <is>
          <t>Spain 1-0 Argentina (AET)</t>
        </is>
      </c>
    </row>
    <row r="6">
      <c r="B6" t="inlineStr">
        <is>
          <t>Winning goal:</t>
        </is>
      </c>
      <c r="C6" t="inlineStr">
        <is>
          <t>Ferran Torres, 106 (2nd period of extra time)</t>
        </is>
      </c>
    </row>
    <row r="7" ht="30" customHeight="1">
      <c r="B7" t="inlineStr">
        <is>
          <t>Significance:</t>
        </is>
      </c>
      <c r="C7" s="5" t="inlineStr">
        <is>
          <t>Spain's second men's World Cup title (also 2010, also won 1-0 in extra time). Denies Argentina back-to-back titles -- would have been the first repeat champion since Brazil 1958/1962.</t>
        </is>
      </c>
    </row>
    <row r="10">
      <c r="A10" s="6" t="n"/>
      <c r="B10" s="6" t="inlineStr">
        <is>
          <t>Checkpoint</t>
        </is>
      </c>
      <c r="C10" s="6" t="inlineStr">
        <is>
          <t>Match state</t>
        </is>
      </c>
      <c r="D10" s="6" t="inlineStr">
        <is>
          <t>Spain title %</t>
        </is>
      </c>
      <c r="E10" s="6" t="inlineStr">
        <is>
          <t>Argentina title %</t>
        </is>
      </c>
      <c r="F10" s="6" t="inlineStr">
        <is>
          <t>Winner call</t>
        </is>
      </c>
      <c r="G10" s="6" t="inlineStr">
        <is>
          <t>Outcome</t>
        </is>
      </c>
      <c r="H10" s="6" t="inlineStr">
        <is>
          <t>Brier score</t>
        </is>
      </c>
    </row>
    <row r="11">
      <c r="B11" s="7" t="inlineStr">
        <is>
          <t>Pre-match</t>
        </is>
      </c>
      <c r="C11" s="7" t="inlineStr">
        <is>
          <t>0-0 (not started)</t>
        </is>
      </c>
      <c r="D11" s="8" t="n">
        <v>0.578</v>
      </c>
      <c r="E11" s="9">
        <f>1-D11</f>
        <v/>
      </c>
      <c r="F11" s="7">
        <f>IF(D11&gt;0.5,"Spain","Argentina")</f>
        <v/>
      </c>
      <c r="G11" s="7" t="inlineStr">
        <is>
          <t>Correct</t>
        </is>
      </c>
      <c r="H11" s="10">
        <f>(D11-1)^2</f>
        <v/>
      </c>
    </row>
    <row r="12">
      <c r="B12" s="7" t="inlineStr">
        <is>
          <t>Halftime</t>
        </is>
      </c>
      <c r="C12" s="7" t="inlineStr">
        <is>
          <t>0-0</t>
        </is>
      </c>
      <c r="D12" s="8" t="n">
        <v>0.547</v>
      </c>
      <c r="E12" s="9">
        <f>1-D12</f>
        <v/>
      </c>
      <c r="F12" s="7">
        <f>IF(D12&gt;0.5,"Spain","Argentina")</f>
        <v/>
      </c>
      <c r="G12" s="7" t="inlineStr">
        <is>
          <t>Correct</t>
        </is>
      </c>
      <c r="H12" s="10">
        <f>(D12-1)^2</f>
        <v/>
      </c>
    </row>
    <row r="13">
      <c r="B13" s="7" t="inlineStr">
        <is>
          <t>Minute 82</t>
        </is>
      </c>
      <c r="C13" s="7" t="inlineStr">
        <is>
          <t>0-0</t>
        </is>
      </c>
      <c r="D13" s="8" t="n">
        <v>0.527</v>
      </c>
      <c r="E13" s="9">
        <f>1-D13</f>
        <v/>
      </c>
      <c r="F13" s="7">
        <f>IF(D13&gt;0.5,"Spain","Argentina")</f>
        <v/>
      </c>
      <c r="G13" s="7" t="inlineStr">
        <is>
          <t>Correct</t>
        </is>
      </c>
      <c r="H13" s="10">
        <f>(D13-1)^2</f>
        <v/>
      </c>
    </row>
    <row r="15">
      <c r="B15" s="11" t="inlineStr">
        <is>
          <t>Coin-flip baseline</t>
        </is>
      </c>
      <c r="H15" s="12" t="n">
        <v>0.25</v>
      </c>
    </row>
    <row r="17" ht="45" customHeight="1">
      <c r="B17" s="13" t="inlineStr">
        <is>
          <t>Note:</t>
        </is>
      </c>
      <c r="C17" s="14" t="inlineStr">
        <is>
          <t>This is a single realized match (n=1). Brier scores below show this forecast beat the coin-flip baseline (0.25) on the outcome that actually happened -- they are evidence of a reasonable call, not a validated calibration claim. Calibration requires many repeated trials across many matches.</t>
        </is>
      </c>
    </row>
  </sheetData>
  <mergeCells count="1">
    <mergeCell ref="C17:H1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2:E18"/>
  <sheetViews>
    <sheetView workbookViewId="0">
      <selection activeCell="A1" sqref="A1"/>
    </sheetView>
  </sheetViews>
  <sheetFormatPr baseColWidth="8" defaultRowHeight="15"/>
  <cols>
    <col width="3" customWidth="1" min="1" max="1"/>
    <col width="34" customWidth="1" min="2" max="2"/>
    <col width="16" customWidth="1" min="3" max="3"/>
    <col width="16" customWidth="1" min="4" max="4"/>
    <col width="16" customWidth="1" min="5" max="5"/>
  </cols>
  <sheetData>
    <row r="2">
      <c r="B2" s="1" t="inlineStr">
        <is>
          <t>Forecast detail by checkpoint</t>
        </is>
      </c>
    </row>
    <row r="4">
      <c r="A4" s="6" t="n"/>
      <c r="B4" s="6" t="inlineStr">
        <is>
          <t>Metric</t>
        </is>
      </c>
      <c r="C4" s="6" t="inlineStr">
        <is>
          <t>Pre-match</t>
        </is>
      </c>
      <c r="D4" s="6" t="inlineStr">
        <is>
          <t>Halftime</t>
        </is>
      </c>
      <c r="E4" s="6" t="inlineStr">
        <is>
          <t>Minute 82</t>
        </is>
      </c>
    </row>
    <row r="5">
      <c r="B5" s="15" t="inlineStr">
        <is>
          <t>Score at checkpoint</t>
        </is>
      </c>
      <c r="C5" s="7" t="inlineStr">
        <is>
          <t>0-0 (not started)</t>
        </is>
      </c>
      <c r="D5" s="7" t="inlineStr">
        <is>
          <t>0-0</t>
        </is>
      </c>
      <c r="E5" s="7" t="inlineStr">
        <is>
          <t>0-0</t>
        </is>
      </c>
    </row>
    <row r="6">
      <c r="B6" s="15" t="inlineStr">
        <is>
          <t>Spain 90-min win %</t>
        </is>
      </c>
      <c r="C6" s="9" t="n">
        <v>0.4192</v>
      </c>
      <c r="D6" s="9" t="n">
        <v>0.3274</v>
      </c>
      <c r="E6" s="9" t="n">
        <v>0.1414090549056091</v>
      </c>
    </row>
    <row r="7">
      <c r="B7" s="15" t="inlineStr">
        <is>
          <t>Draw / still-level %</t>
        </is>
      </c>
      <c r="C7" s="9" t="n">
        <v>0.3139</v>
      </c>
      <c r="D7" s="9" t="n">
        <v>0.4556</v>
      </c>
      <c r="E7" s="9" t="n">
        <v>0.7844233797418307</v>
      </c>
    </row>
    <row r="8">
      <c r="B8" s="15" t="inlineStr">
        <is>
          <t>Argentina 90-min win %</t>
        </is>
      </c>
      <c r="C8" s="9" t="n">
        <v>0.2669</v>
      </c>
      <c r="D8" s="9" t="n">
        <v>0.217</v>
      </c>
      <c r="E8" s="9" t="n">
        <v>0.07416756535256017</v>
      </c>
    </row>
    <row r="9">
      <c r="B9" s="15" t="inlineStr">
        <is>
          <t>Reaches extra time %</t>
        </is>
      </c>
      <c r="C9" s="9" t="n">
        <v>0.3139</v>
      </c>
      <c r="D9" s="9" t="n">
        <v>0.4556</v>
      </c>
      <c r="E9" s="9" t="n">
        <v>0.7844233797418307</v>
      </c>
    </row>
    <row r="10">
      <c r="B10" s="15" t="inlineStr">
        <is>
          <t>Reaches penalties %</t>
        </is>
      </c>
      <c r="C10" s="9" t="n">
        <v>0.188</v>
      </c>
      <c r="D10" s="9" t="n">
        <v>0.3429</v>
      </c>
      <c r="E10" s="9" t="n">
        <v>0.506925623008957</v>
      </c>
    </row>
    <row r="11">
      <c r="B11" s="15" t="inlineStr">
        <is>
          <t>Spain: title via regulation %</t>
        </is>
      </c>
      <c r="C11" s="9" t="n">
        <v>0.4192</v>
      </c>
      <c r="D11" s="9" t="n">
        <v>0.3274</v>
      </c>
      <c r="E11" s="9" t="n">
        <v>0.1414090549056091</v>
      </c>
    </row>
    <row r="12">
      <c r="B12" s="15" t="inlineStr">
        <is>
          <t>Spain: title via extra time %</t>
        </is>
      </c>
      <c r="C12" s="9" t="n">
        <v>0.0733</v>
      </c>
      <c r="D12" s="9" t="n">
        <v>0.06610000000000001</v>
      </c>
      <c r="E12" s="9" t="n">
        <v>0.1724633803609105</v>
      </c>
    </row>
    <row r="13">
      <c r="B13" s="15" t="inlineStr">
        <is>
          <t>Spain: title via penalties %</t>
        </is>
      </c>
      <c r="C13" s="9" t="n">
        <v>0.08500000000000001</v>
      </c>
      <c r="D13" s="9" t="n">
        <v>0.1537</v>
      </c>
      <c r="E13" s="9" t="n">
        <v>0.212908761663762</v>
      </c>
    </row>
    <row r="14">
      <c r="B14" s="15" t="inlineStr">
        <is>
          <t>Argentina: title via regulation %</t>
        </is>
      </c>
      <c r="C14" s="9" t="n">
        <v>0.2669</v>
      </c>
      <c r="D14" s="9" t="n">
        <v>0.217</v>
      </c>
      <c r="E14" s="9" t="n">
        <v>0.07416756535256017</v>
      </c>
    </row>
    <row r="15">
      <c r="B15" s="15" t="inlineStr">
        <is>
          <t>Argentina: title via extra time %</t>
        </is>
      </c>
      <c r="C15" s="9" t="n">
        <v>0.0525</v>
      </c>
      <c r="D15" s="9" t="n">
        <v>0.0466</v>
      </c>
      <c r="E15" s="9" t="n">
        <v>0.105034376371936</v>
      </c>
    </row>
    <row r="16">
      <c r="B16" s="15" t="inlineStr">
        <is>
          <t>Argentina: title via penalties %</t>
        </is>
      </c>
      <c r="C16" s="9" t="n">
        <v>0.103</v>
      </c>
      <c r="D16" s="9" t="n">
        <v>0.1892</v>
      </c>
      <c r="E16" s="9" t="n">
        <v>0.2940168613451951</v>
      </c>
    </row>
    <row r="17">
      <c r="B17" s="16" t="inlineStr">
        <is>
          <t>SPAIN TITLE PROBABILITY %</t>
        </is>
      </c>
      <c r="C17" s="17" t="n">
        <v>0.5775</v>
      </c>
      <c r="D17" s="17" t="n">
        <v>0.5472</v>
      </c>
      <c r="E17" s="17" t="n">
        <v>0.5267811969302816</v>
      </c>
    </row>
    <row r="18">
      <c r="B18" s="16" t="inlineStr">
        <is>
          <t>ARGENTINA TITLE PROBABILITY %</t>
        </is>
      </c>
      <c r="C18" s="17" t="n">
        <v>0.4225</v>
      </c>
      <c r="D18" s="17" t="n">
        <v>0.4528</v>
      </c>
      <c r="E18" s="17" t="n">
        <v>0.4732188030696913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2:D17"/>
  <sheetViews>
    <sheetView workbookViewId="0">
      <selection activeCell="A1" sqref="A1"/>
    </sheetView>
  </sheetViews>
  <sheetFormatPr baseColWidth="8" defaultRowHeight="15"/>
  <cols>
    <col width="3" customWidth="1" min="1" max="1"/>
    <col width="38" customWidth="1" min="2" max="2"/>
    <col width="20" customWidth="1" min="3" max="3"/>
    <col width="55" customWidth="1" min="4" max="4"/>
  </cols>
  <sheetData>
    <row r="2">
      <c r="B2" s="1" t="inlineStr">
        <is>
          <t>Model inputs (verified against primary sources)</t>
        </is>
      </c>
    </row>
    <row r="3">
      <c r="B3" s="18" t="inlineStr">
        <is>
          <t>Blue = hardcoded input. See notes column for source.</t>
        </is>
      </c>
    </row>
    <row r="5">
      <c r="A5" s="6" t="n"/>
      <c r="B5" s="6" t="inlineStr">
        <is>
          <t>Input</t>
        </is>
      </c>
      <c r="C5" s="6" t="inlineStr">
        <is>
          <t>Value</t>
        </is>
      </c>
      <c r="D5" s="6" t="inlineStr">
        <is>
          <t>Source / note</t>
        </is>
      </c>
    </row>
    <row r="6">
      <c r="B6" s="15" t="inlineStr">
        <is>
          <t>Market odds set 1 (Spain/Draw/Arg, decimal)</t>
        </is>
      </c>
      <c r="C6" s="19" t="inlineStr">
        <is>
          <t>[2.3, 2.95, 3.6]</t>
        </is>
      </c>
      <c r="D6" s="20" t="inlineStr">
        <is>
          <t>FanDuel closing line, cross-checked vs DraftKings &amp; Oddschecker</t>
        </is>
      </c>
    </row>
    <row r="7">
      <c r="B7" s="15" t="inlineStr">
        <is>
          <t>Market odds set 2 (Kalshi, decimal)</t>
        </is>
      </c>
      <c r="C7" s="19" t="inlineStr">
        <is>
          <t>[2.3256, 3.0303, 3.7037]</t>
        </is>
      </c>
      <c r="D7" s="20" t="inlineStr">
        <is>
          <t>Kalshi 3-way regulation contract</t>
        </is>
      </c>
    </row>
    <row r="8">
      <c r="B8" s="15" t="inlineStr">
        <is>
          <t>Elo — Spain (pre-match)</t>
        </is>
      </c>
      <c r="C8" s="19" t="n">
        <v>2232</v>
      </c>
      <c r="D8" s="20" t="inlineStr">
        <is>
          <t>eloratings.net, verified 2026-07-19 pre-kickoff</t>
        </is>
      </c>
    </row>
    <row r="9">
      <c r="B9" s="15" t="inlineStr">
        <is>
          <t>Elo — Argentina (pre-match)</t>
        </is>
      </c>
      <c r="C9" s="19" t="n">
        <v>2200</v>
      </c>
      <c r="D9" s="20" t="inlineStr">
        <is>
          <t>eloratings.net, verified 2026-07-19 pre-kickoff</t>
        </is>
      </c>
    </row>
    <row r="10">
      <c r="B10" s="15" t="inlineStr">
        <is>
          <t>Elo — Spain (post-final)</t>
        </is>
      </c>
      <c r="C10" s="19" t="n">
        <v>2259</v>
      </c>
      <c r="D10" s="20" t="inlineStr">
        <is>
          <t>eloratings.net, post-match update</t>
        </is>
      </c>
    </row>
    <row r="11">
      <c r="B11" s="15" t="inlineStr">
        <is>
          <t>Elo — Argentina (post-final)</t>
        </is>
      </c>
      <c r="C11" s="19" t="n">
        <v>2173</v>
      </c>
      <c r="D11" s="20" t="inlineStr">
        <is>
          <t>eloratings.net, post-match update</t>
        </is>
      </c>
    </row>
    <row r="12">
      <c r="B12" s="15" t="inlineStr">
        <is>
          <t>Opta supercomputer 90-min (S/D/A)</t>
        </is>
      </c>
      <c r="C12" s="19" t="inlineStr">
        <is>
          <t>[0.45, 0.29, 0.26]</t>
        </is>
      </c>
      <c r="D12" s="20" t="inlineStr">
        <is>
          <t>theanalyst.com, 25,000-sim preview, published match day</t>
        </is>
      </c>
    </row>
    <row r="13">
      <c r="B13" s="15" t="inlineStr">
        <is>
          <t>Blend weights (market/published/Elo)</t>
        </is>
      </c>
      <c r="C13" s="19" t="inlineStr">
        <is>
          <t>0.55/0.3/0.15</t>
        </is>
      </c>
      <c r="D13" s="20" t="inlineStr">
        <is>
          <t>Weighted by demonstrated forecast calibration</t>
        </is>
      </c>
    </row>
    <row r="14">
      <c r="B14" s="15" t="inlineStr">
        <is>
          <t>Expected total goals (pre-match)</t>
        </is>
      </c>
      <c r="C14" s="19" t="n">
        <v>2.2</v>
      </c>
      <c r="D14" s="20" t="inlineStr">
        <is>
          <t>Kalshi total-goals contract</t>
        </is>
      </c>
    </row>
    <row r="15">
      <c r="B15" s="15" t="inlineStr">
        <is>
          <t>Dixon-Coles rho</t>
        </is>
      </c>
      <c r="C15" s="19" t="n">
        <v>-0.1</v>
      </c>
      <c r="D15" s="20" t="inlineStr">
        <is>
          <t>Standard low-score correlation for international football</t>
        </is>
      </c>
    </row>
    <row r="16">
      <c r="B16" s="15" t="inlineStr">
        <is>
          <t>Extra-time intensity multiplier</t>
        </is>
      </c>
      <c r="C16" s="19" t="n">
        <v>0.85</v>
      </c>
      <c r="D16" s="20" t="inlineStr">
        <is>
          <t>Historical ET scoring rate vs regulation</t>
        </is>
      </c>
    </row>
    <row r="17">
      <c r="B17" s="15" t="inlineStr">
        <is>
          <t>Argentina penalty win probability (central)</t>
        </is>
      </c>
      <c r="C17" s="19" t="n">
        <v>0.58</v>
      </c>
      <c r="D17" s="20" t="inlineStr">
        <is>
          <t>Conservative read of Argentina's 6/7 WC shootout record + Dibu Martinez</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2:F27"/>
  <sheetViews>
    <sheetView workbookViewId="0">
      <selection activeCell="A1" sqref="A1"/>
    </sheetView>
  </sheetViews>
  <sheetFormatPr baseColWidth="8" defaultRowHeight="15"/>
  <cols>
    <col width="3" customWidth="1" min="1" max="1"/>
    <col width="12" customWidth="1" min="2" max="2"/>
    <col width="11" customWidth="1" min="3" max="3"/>
    <col width="34" customWidth="1" min="4" max="4"/>
    <col width="11" customWidth="1" min="5" max="5"/>
    <col width="34" customWidth="1" min="6" max="6"/>
  </cols>
  <sheetData>
    <row r="2">
      <c r="B2" s="1" t="inlineStr">
        <is>
          <t>World Football Elo rating history — Spain vs Argentina</t>
        </is>
      </c>
    </row>
    <row r="3" ht="60" customHeight="1">
      <c r="B3" s="14" t="inlineStr">
        <is>
          <t>Each point is the team's rating immediately after its most recent match on or before one of 15 target lookback dates (7d, 15d, 1-16mo, then every 4mo back to 36mo), counting back from the final on 2026-07-19, plus the post-final rating. Duplicate target dates that resolved to the same underlying match are collapsed to one point. This means the series is intentionally sparse between matches (Elo only changes on match days) -- it is NOT a complete list of every match either team played; it is exactly the primary-sourced points needed to answer 'what was the rating at each of these lookback horizons.' Pre-tournament historical points (Jul 2023 - Mar 2026) are single-sourced from this pull and were not independently cross-verified the way the June-July 2026 tournament matches were in the main forecast -- treat those opponent labels as lower-confidence context; the numeric ratings are primary-sourced regardless.</t>
        </is>
      </c>
    </row>
    <row r="6">
      <c r="A6" s="6" t="n"/>
      <c r="B6" s="6" t="inlineStr">
        <is>
          <t>Date</t>
        </is>
      </c>
      <c r="C6" s="6" t="inlineStr">
        <is>
          <t>Spain Elo</t>
        </is>
      </c>
      <c r="D6" s="6" t="inlineStr">
        <is>
          <t>Spain context</t>
        </is>
      </c>
      <c r="E6" s="6" t="inlineStr">
        <is>
          <t>Argentina Elo</t>
        </is>
      </c>
      <c r="F6" s="6" t="inlineStr">
        <is>
          <t>Argentina context</t>
        </is>
      </c>
    </row>
    <row r="7">
      <c r="B7" s="15" t="inlineStr">
        <is>
          <t>2023-06-18</t>
        </is>
      </c>
      <c r="C7" s="19" t="n">
        <v>1990</v>
      </c>
      <c r="D7" s="21" t="inlineStr">
        <is>
          <t>Drew Croatia 0-0 (Nations League)</t>
        </is>
      </c>
      <c r="E7" s="19" t="n"/>
      <c r="F7" s="21" t="inlineStr"/>
    </row>
    <row r="8">
      <c r="B8" s="15" t="inlineStr">
        <is>
          <t>2023-06-19</t>
        </is>
      </c>
      <c r="C8" s="19" t="n"/>
      <c r="D8" s="21" t="inlineStr"/>
      <c r="E8" s="19" t="n">
        <v>2148</v>
      </c>
      <c r="F8" s="21" t="inlineStr">
        <is>
          <t>Beat Indonesia 2-0 (friendly, reigning 2022 World Cup champions)</t>
        </is>
      </c>
    </row>
    <row r="9">
      <c r="B9" s="15" t="inlineStr">
        <is>
          <t>2023-11-16</t>
        </is>
      </c>
      <c r="C9" s="19" t="n"/>
      <c r="D9" s="21" t="inlineStr"/>
      <c r="E9" s="19" t="n">
        <v>2118</v>
      </c>
      <c r="F9" s="21" t="inlineStr">
        <is>
          <t>Lost to Uruguay 0-2 (World Cup qualifying)</t>
        </is>
      </c>
    </row>
    <row r="10">
      <c r="B10" s="15" t="inlineStr">
        <is>
          <t>2023-11-19</t>
        </is>
      </c>
      <c r="C10" s="19" t="n">
        <v>2034</v>
      </c>
      <c r="D10" s="21" t="inlineStr">
        <is>
          <t>Beat Georgia 3-1 (Euro 2024 qualifying)</t>
        </is>
      </c>
      <c r="E10" s="19" t="n"/>
      <c r="F10" s="21" t="inlineStr"/>
    </row>
    <row r="11">
      <c r="B11" s="15" t="inlineStr">
        <is>
          <t>2023-11-21</t>
        </is>
      </c>
      <c r="C11" s="19" t="n"/>
      <c r="D11" s="21" t="inlineStr"/>
      <c r="E11" s="19" t="n">
        <v>2139</v>
      </c>
      <c r="F11" s="21" t="inlineStr">
        <is>
          <t>Beat Brazil 1-0 away (World Cup qualifying)</t>
        </is>
      </c>
    </row>
    <row r="12">
      <c r="B12" s="15" t="inlineStr">
        <is>
          <t>2024-07-14</t>
        </is>
      </c>
      <c r="C12" s="19" t="n">
        <v>2150</v>
      </c>
      <c r="D12" s="21" t="inlineStr">
        <is>
          <t>Won Euro 2024 final, beat England 2-1</t>
        </is>
      </c>
      <c r="E12" s="19" t="n">
        <v>2169</v>
      </c>
      <c r="F12" s="21" t="inlineStr">
        <is>
          <t>Won Copa America 2024 final, beat Colombia 1-0 (AET)</t>
        </is>
      </c>
    </row>
    <row r="13">
      <c r="B13" s="15" t="inlineStr">
        <is>
          <t>2024-11-18</t>
        </is>
      </c>
      <c r="C13" s="19" t="n">
        <v>2178</v>
      </c>
      <c r="D13" s="21" t="inlineStr">
        <is>
          <t>Beat Switzerland 3-2 (Nations League)</t>
        </is>
      </c>
      <c r="E13" s="19" t="n"/>
      <c r="F13" s="21" t="inlineStr"/>
    </row>
    <row r="14">
      <c r="B14" s="15" t="inlineStr">
        <is>
          <t>2024-11-19</t>
        </is>
      </c>
      <c r="C14" s="19" t="n"/>
      <c r="D14" s="21" t="inlineStr"/>
      <c r="E14" s="19" t="n">
        <v>2108</v>
      </c>
      <c r="F14" s="21" t="inlineStr">
        <is>
          <t>Beat Peru 1-0 (World Cup qualifying)</t>
        </is>
      </c>
    </row>
    <row r="15">
      <c r="B15" s="15" t="inlineStr">
        <is>
          <t>2025-06-08</t>
        </is>
      </c>
      <c r="C15" s="19" t="n">
        <v>2157</v>
      </c>
      <c r="D15" s="21" t="inlineStr">
        <is>
          <t>Nations League final vs Portugal, 2-2 (lost on penalties)</t>
        </is>
      </c>
      <c r="E15" s="19" t="n"/>
      <c r="F15" s="21" t="inlineStr"/>
    </row>
    <row r="16">
      <c r="B16" s="15" t="inlineStr">
        <is>
          <t>2025-06-10</t>
        </is>
      </c>
      <c r="C16" s="19" t="n"/>
      <c r="D16" s="21" t="inlineStr"/>
      <c r="E16" s="19" t="n">
        <v>2132</v>
      </c>
      <c r="F16" s="21" t="inlineStr">
        <is>
          <t>Drew Colombia 1-1 (World Cup qualifying)</t>
        </is>
      </c>
    </row>
    <row r="17">
      <c r="B17" s="15" t="inlineStr">
        <is>
          <t>2025-10-14</t>
        </is>
      </c>
      <c r="C17" s="19" t="n">
        <v>2182</v>
      </c>
      <c r="D17" s="21" t="inlineStr">
        <is>
          <t>Beat Bulgaria 4-0 (World Cup qualifying)</t>
        </is>
      </c>
      <c r="E17" s="19" t="n">
        <v>2111</v>
      </c>
      <c r="F17" s="21" t="inlineStr">
        <is>
          <t>Beat Puerto Rico 6-0 (friendly, already qualified)</t>
        </is>
      </c>
    </row>
    <row r="18">
      <c r="B18" s="15" t="inlineStr">
        <is>
          <t>2025-11-14</t>
        </is>
      </c>
      <c r="C18" s="19" t="n"/>
      <c r="D18" s="21" t="inlineStr"/>
      <c r="E18" s="19" t="n">
        <v>2113</v>
      </c>
      <c r="F18" s="21" t="inlineStr">
        <is>
          <t>Beat Angola 2-0 (friendly)</t>
        </is>
      </c>
    </row>
    <row r="19">
      <c r="B19" s="15" t="inlineStr">
        <is>
          <t>2025-11-18</t>
        </is>
      </c>
      <c r="C19" s="19" t="n">
        <v>2172</v>
      </c>
      <c r="D19" s="21" t="inlineStr">
        <is>
          <t>Drew Turkey 2-2 (World Cup qualifying, clinched qualification)</t>
        </is>
      </c>
      <c r="E19" s="19" t="n"/>
      <c r="F19" s="21" t="inlineStr"/>
    </row>
    <row r="20">
      <c r="B20" s="15" t="inlineStr">
        <is>
          <t>2026-03-31</t>
        </is>
      </c>
      <c r="C20" s="19" t="n">
        <v>2165</v>
      </c>
      <c r="D20" s="21" t="inlineStr">
        <is>
          <t>Drew Egypt 0-0 (friendly)</t>
        </is>
      </c>
      <c r="E20" s="19" t="n">
        <v>2113</v>
      </c>
      <c r="F20" s="21" t="inlineStr">
        <is>
          <t>Beat Zambia 5-0 (friendly)</t>
        </is>
      </c>
    </row>
    <row r="21">
      <c r="B21" s="15" t="inlineStr">
        <is>
          <t>2026-06-15</t>
        </is>
      </c>
      <c r="C21" s="19" t="n">
        <v>2129</v>
      </c>
      <c r="D21" s="21" t="inlineStr">
        <is>
          <t>Drew Cabo Verde 0-0 (World Cup group opener)</t>
        </is>
      </c>
      <c r="E21" s="19" t="n"/>
      <c r="F21" s="21" t="inlineStr"/>
    </row>
    <row r="22">
      <c r="B22" s="15" t="inlineStr">
        <is>
          <t>2026-06-16</t>
        </is>
      </c>
      <c r="C22" s="19" t="n"/>
      <c r="D22" s="21" t="inlineStr"/>
      <c r="E22" s="19" t="n">
        <v>2128</v>
      </c>
      <c r="F22" s="21" t="inlineStr">
        <is>
          <t>Beat Algeria 3-0 (World Cup group opener)</t>
        </is>
      </c>
    </row>
    <row r="23">
      <c r="B23" s="15" t="inlineStr">
        <is>
          <t>2026-07-02</t>
        </is>
      </c>
      <c r="C23" s="19" t="n">
        <v>2159</v>
      </c>
      <c r="D23" s="21" t="inlineStr">
        <is>
          <t>Beat Austria 3-0 (World Cup Round of 32)</t>
        </is>
      </c>
      <c r="E23" s="19" t="n"/>
      <c r="F23" s="21" t="inlineStr"/>
    </row>
    <row r="24">
      <c r="B24" s="15" t="inlineStr">
        <is>
          <t>2026-07-03</t>
        </is>
      </c>
      <c r="C24" s="19" t="n"/>
      <c r="D24" s="21" t="inlineStr"/>
      <c r="E24" s="19" t="n">
        <v>2151</v>
      </c>
      <c r="F24" s="21" t="inlineStr">
        <is>
          <t>Beat Cabo Verde 3-2 AET (World Cup Round of 32)</t>
        </is>
      </c>
    </row>
    <row r="25">
      <c r="B25" s="15" t="inlineStr">
        <is>
          <t>2026-07-10</t>
        </is>
      </c>
      <c r="C25" s="19" t="n">
        <v>2190</v>
      </c>
      <c r="D25" s="21" t="inlineStr">
        <is>
          <t>Beat Belgium 2-1 (World Cup quarterfinal)</t>
        </is>
      </c>
      <c r="E25" s="19" t="n"/>
      <c r="F25" s="21" t="inlineStr"/>
    </row>
    <row r="26">
      <c r="B26" s="15" t="inlineStr">
        <is>
          <t>2026-07-11</t>
        </is>
      </c>
      <c r="C26" s="19" t="n"/>
      <c r="D26" s="21" t="inlineStr"/>
      <c r="E26" s="19" t="n">
        <v>2177</v>
      </c>
      <c r="F26" s="21" t="inlineStr">
        <is>
          <t>Beat Switzerland 3-1 AET (World Cup quarterfinal) -- corrected from source label 'Chile'</t>
        </is>
      </c>
    </row>
    <row r="27">
      <c r="B27" s="15" t="inlineStr">
        <is>
          <t>2026-07-19</t>
        </is>
      </c>
      <c r="C27" s="19" t="n">
        <v>2259</v>
      </c>
      <c r="D27" s="21" t="inlineStr">
        <is>
          <t>WORLD CHAMPIONS -- beat Argentina 1-0 AET (World Cup final)</t>
        </is>
      </c>
      <c r="E27" s="19" t="n">
        <v>2173</v>
      </c>
      <c r="F27" s="21" t="inlineStr">
        <is>
          <t>RUNNERS-UP -- lost to Spain 0-1 AET (World Cup final)</t>
        </is>
      </c>
    </row>
  </sheetData>
  <mergeCells count="1">
    <mergeCell ref="B3:F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2:D15"/>
  <sheetViews>
    <sheetView workbookViewId="0">
      <selection activeCell="A1" sqref="A1"/>
    </sheetView>
  </sheetViews>
  <sheetFormatPr baseColWidth="8" defaultRowHeight="15"/>
  <cols>
    <col width="3" customWidth="1" min="1" max="1"/>
    <col width="18" customWidth="1" min="2" max="2"/>
    <col width="20" customWidth="1" min="3" max="3"/>
    <col width="90" customWidth="1" min="4" max="4"/>
  </cols>
  <sheetData>
    <row r="2">
      <c r="B2" s="1" t="inlineStr">
        <is>
          <t>Notes for next time</t>
        </is>
      </c>
    </row>
    <row r="4">
      <c r="A4" s="6" t="n"/>
      <c r="B4" s="6" t="inlineStr">
        <is>
          <t>Verdict</t>
        </is>
      </c>
      <c r="C4" s="6" t="inlineStr">
        <is>
          <t>Topic</t>
        </is>
      </c>
      <c r="D4" s="6" t="inlineStr">
        <is>
          <t>Detail</t>
        </is>
      </c>
    </row>
    <row r="5" ht="44" customHeight="1">
      <c r="B5" s="22" t="inlineStr">
        <is>
          <t>RIGHT</t>
        </is>
      </c>
      <c r="C5" s="16" t="inlineStr">
        <is>
          <t>Winner call</t>
        </is>
      </c>
      <c r="D5" s="23" t="inlineStr">
        <is>
          <t>Favored Spain at all three checkpoints (57.8% / 54.7% / 52.7%); Spain won.</t>
        </is>
      </c>
    </row>
    <row r="6" ht="44" customHeight="1">
      <c r="B6" s="22" t="inlineStr">
        <is>
          <t>RIGHT</t>
        </is>
      </c>
      <c r="C6" s="16" t="inlineStr">
        <is>
          <t>Extra time</t>
        </is>
      </c>
      <c r="D6" s="23" t="inlineStr">
        <is>
          <t>Assigned 78.4% to reaching extra time at minute 82; match went to extra time.</t>
        </is>
      </c>
    </row>
    <row r="7" ht="44" customHeight="1">
      <c r="B7" s="22" t="inlineStr">
        <is>
          <t>RIGHT</t>
        </is>
      </c>
      <c r="C7" s="16" t="inlineStr">
        <is>
          <t>Scoreline shape</t>
        </is>
      </c>
      <c r="D7" s="23" t="inlineStr">
        <is>
          <t>0-0 was correctly the highest-weight 90-minute scoreline by minute 82; that is exactly the 90-minute result.</t>
        </is>
      </c>
    </row>
    <row r="8" ht="44" customHeight="1">
      <c r="B8" s="22" t="inlineStr">
        <is>
          <t>RIGHT</t>
        </is>
      </c>
      <c r="C8" s="16" t="inlineStr">
        <is>
          <t>Low-scoring final</t>
        </is>
      </c>
      <c r="D8" s="23" t="inlineStr">
        <is>
          <t>Pre-match model priced a low-scoring, cagey final (2.2 expected goals); final score after 90 was 0-0, decided 1-0 in ET.</t>
        </is>
      </c>
    </row>
    <row r="9" ht="44" customHeight="1">
      <c r="B9" s="24" t="inlineStr">
        <is>
          <t>PARTIALLY RIGHT</t>
        </is>
      </c>
      <c r="C9" s="16" t="inlineStr">
        <is>
          <t>Final scoreline</t>
        </is>
      </c>
      <c r="D9" s="23" t="inlineStr">
        <is>
          <t>1-0 was the model's #2 most likely 90-minute scoreline pre-match (12.5%) and is the exact final score — but it arrived via extra time, a different mechanism than the 90-minute bucket it was priced under.</t>
        </is>
      </c>
    </row>
    <row r="10" ht="44" customHeight="1">
      <c r="B10" s="25" t="inlineStr">
        <is>
          <t>UNTESTED, NOT WRONG</t>
        </is>
      </c>
      <c r="C10" s="16" t="inlineStr">
        <is>
          <t>Penalty shootout sensitivity</t>
        </is>
      </c>
      <c r="D10" s="23" t="inlineStr">
        <is>
          <t>Spent significant analysis on the shootout win-probability assumption (the single most decision-relevant lever at minute 82); the match never reached penalties, so that branch was never tested against reality.</t>
        </is>
      </c>
    </row>
    <row r="11" ht="44" customHeight="1">
      <c r="B11" s="26" t="inlineStr">
        <is>
          <t>BLIND SPOT</t>
        </is>
      </c>
      <c r="C11" s="16" t="inlineStr">
        <is>
          <t>Red card timing</t>
        </is>
      </c>
      <c r="D11" s="23" t="inlineStr">
        <is>
          <t>Enzo Fernandez's dismissal came in stoppage time of regulation, AFTER the minute-82 checkpoint. The model had no mechanism to react to live cards/dismissals -- a real gap, not a calculation error.</t>
        </is>
      </c>
    </row>
    <row r="12" ht="44" customHeight="1">
      <c r="B12" s="26" t="inlineStr">
        <is>
          <t>UNDERESTIMATE</t>
        </is>
      </c>
      <c r="C12" s="16" t="inlineStr">
        <is>
          <t>Shot dominance</t>
        </is>
      </c>
      <c r="D12" s="23" t="inlineStr">
        <is>
          <t>Modeled Argentina's attack at a flat 0.72x discount from minute 82; final shots were Spain 20-2 (12-0 on target), a larger gap than modeled, partly explained by the red card.</t>
        </is>
      </c>
    </row>
    <row r="13" ht="44" customHeight="1">
      <c r="B13" s="25" t="inlineStr">
        <is>
          <t>METHOD NOTE</t>
        </is>
      </c>
      <c r="C13" s="16" t="inlineStr">
        <is>
          <t>n=1 caveat</t>
        </is>
      </c>
      <c r="D13" s="23" t="inlineStr">
        <is>
          <t>A single match cannot validate calibration. Beating the coin-flip Brier baseline on the realized outcome is a reasonable-call signal, not proof of good calibration -- that requires many repeated trials.</t>
        </is>
      </c>
    </row>
    <row r="14" ht="44" customHeight="1">
      <c r="B14" s="27" t="inlineStr">
        <is>
          <t>NEXT TIME</t>
        </is>
      </c>
      <c r="C14" s="16" t="inlineStr">
        <is>
          <t>Live event layer</t>
        </is>
      </c>
      <c r="D14" s="23" t="inlineStr">
        <is>
          <t>Add a live-conditioning layer that reacts to cards, red cards, and injuries in real time, not just the scoreline, so in-play updates reflect personnel changes as they happen rather than only at fixed checkpoints.</t>
        </is>
      </c>
    </row>
    <row r="15" ht="44" customHeight="1">
      <c r="B15" s="27" t="inlineStr">
        <is>
          <t>NEXT TIME</t>
        </is>
      </c>
      <c r="C15" s="16" t="inlineStr">
        <is>
          <t>Denser live checkpoints</t>
        </is>
      </c>
      <c r="D15" s="23" t="inlineStr">
        <is>
          <t>Run the live update every ~10-15 minutes rather than at two fixed points (halftime, minute 82), so red cards / injuries this close to full time get priced in immediately.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2026-07-20T05:37:08Z</dcterms:created>
  <dcterms:modified xsi:type="dcterms:W3CDTF">2026-07-20T05:37:08Z</dcterms:modified>
</cp:coreProperties>
</file>