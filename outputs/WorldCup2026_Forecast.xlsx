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mpion Forecast" sheetId="2" state="visible" r:id="rId2"/>
    <sheet name="Group Stage" sheetId="3" state="visible" r:id="rId3"/>
    <sheet name="Appendix A — PoissonBinomial" sheetId="4" state="visible" r:id="rId4"/>
    <sheet name="Match Matrix" sheetId="5" state="visible" r:id="rId5"/>
    <sheet name="Model vs Market" sheetId="6" state="visible" r:id="rId6"/>
    <sheet name="Sensitivity" sheetId="7" state="visible" r:id="rId7"/>
    <sheet name="Methodology &amp;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333333"/>
      <sz val="10"/>
    </font>
    <font>
      <sz val="10"/>
    </font>
    <font>
      <b val="1"/>
      <color rgb="000A1F44"/>
      <sz val="12"/>
    </font>
    <font>
      <b val="1"/>
      <color rgb="00FFFFFF"/>
    </font>
    <font>
      <b val="1"/>
      <color rgb="00FFFFFF"/>
      <sz val="13"/>
    </font>
    <font>
      <b val="1"/>
      <color rgb="000A1F44"/>
      <sz val="14"/>
    </font>
    <font>
      <b val="1"/>
      <color rgb="000A1F44"/>
      <sz val="11"/>
    </font>
  </fonts>
  <fills count="6">
    <fill>
      <patternFill/>
    </fill>
    <fill>
      <patternFill patternType="gray125"/>
    </fill>
    <fill>
      <patternFill patternType="solid">
        <fgColor rgb="0011305f"/>
      </patternFill>
    </fill>
    <fill>
      <patternFill patternType="solid">
        <fgColor rgb="00FFFFFF"/>
      </patternFill>
    </fill>
    <fill>
      <patternFill patternType="solid">
        <fgColor rgb="00EAEFF7"/>
      </patternFill>
    </fill>
    <fill>
      <patternFill patternType="solid">
        <fgColor rgb="000A1F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1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Title probability — top 12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'Champion Forecast'!F2</f>
            </strRef>
          </tx>
          <spPr>
            <a:ln>
              <a:prstDash val="solid"/>
            </a:ln>
          </spPr>
          <cat>
            <numRef>
              <f>'Champion Forecast'!$B$3:$B$14</f>
            </numRef>
          </cat>
          <val>
            <numRef>
              <f>'Champion Forecast'!$F$3:$F$14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5334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447675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447675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40957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3429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8" customWidth="1" min="3" max="3"/>
    <col width="9" customWidth="1" min="4" max="4"/>
    <col width="11" customWidth="1" min="5" max="5"/>
    <col width="11" customWidth="1" min="6" max="6"/>
    <col width="13" customWidth="1" min="7" max="7"/>
    <col width="3" customWidth="1" min="8" max="8"/>
    <col width="9" customWidth="1" min="9" max="9"/>
    <col width="9" customWidth="1" min="10" max="10"/>
    <col width="9" customWidth="1" min="11" max="11"/>
  </cols>
  <sheetData>
    <row r="2" ht="30" customHeight="1">
      <c r="B2" s="1" t="inlineStr">
        <is>
          <t>2026 FIFA WORLD CUP — DATA-DRIVEN CHAMPION FORECAST</t>
        </is>
      </c>
    </row>
    <row r="3">
      <c r="B3" s="2" t="inlineStr">
        <is>
          <t>Elo → calibrated Poisson goal model → exact Poisson-binomial group stage → 200,000-replication Monte-Carlo knockout.  Generated 2026-06-17</t>
        </is>
      </c>
    </row>
    <row r="5" ht="46" customHeight="1">
      <c r="B5" s="3" t="inlineStr">
        <is>
          <t>METHOD:  Ratings: World Football Elo (eloratings.net, mid-June 2026). Match model calibrated so the Poisson/Skellam win-probability reproduces the Elo logistic (max error 0.4%). Group stage solved EXACTLY (3^6 enumeration + Poisson-binomial). Knockout via 200k Monte-Carlo over the official FIFA bracket incl. the best-third-place combination assignment. Rating/form uncertainty σ=70 Elo.</t>
        </is>
      </c>
    </row>
    <row r="6" ht="46" customHeight="1">
      <c r="B6" s="4" t="inlineStr">
        <is>
          <t>HEADLINE:  Consensus title pick: SPAIN, narrowly over FRANCE and ARGENTINA. The pure model rates ARGENTINA and SPAIN as co-favourites; the market prefers FRANCE (opening-match form).</t>
        </is>
      </c>
    </row>
    <row r="7" ht="46" customHeight="1">
      <c r="B7" s="4" t="inlineStr">
        <is>
          <t>MODEL vs MARKET:  Biggest model 'value': ARGENTINA (model ~22% vs market ~9%) and COLOMBIA. Biggest model 'fade': PORTUGAL (model ~5% vs market ~9%). Both directions match Nate Silver's PELE model (bullish Argentina, bearish Portugal) — independent corroboration.</t>
        </is>
      </c>
    </row>
    <row r="8" ht="46" customHeight="1">
      <c r="B8" s="3" t="inlineStr">
        <is>
          <t>HOW TO READ:  Each sheet is self-contained. 'Champion Forecast' = full 48-team ranking. 'Appendix A' = the exact per-team Poisson-binomial demonstration. Colour scales: green = higher.</t>
        </is>
      </c>
    </row>
    <row r="10">
      <c r="B10" s="5" t="inlineStr">
        <is>
          <t>TOP 10 — TITLE PROBABILITY</t>
        </is>
      </c>
    </row>
    <row r="11">
      <c r="A11" s="6" t="n"/>
      <c r="B11" s="6" t="inlineStr">
        <is>
          <t>Rank</t>
        </is>
      </c>
      <c r="C11" s="6" t="inlineStr">
        <is>
          <t>Team</t>
        </is>
      </c>
      <c r="D11" s="6" t="inlineStr">
        <is>
          <t>Group</t>
        </is>
      </c>
      <c r="E11" s="6" t="inlineStr">
        <is>
          <t>Model %</t>
        </is>
      </c>
      <c r="F11" s="6" t="inlineStr">
        <is>
          <t>Market %</t>
        </is>
      </c>
      <c r="G11" s="6" t="inlineStr">
        <is>
          <t>Consensus %</t>
        </is>
      </c>
    </row>
    <row r="12">
      <c r="B12" s="7" t="n">
        <v>1</v>
      </c>
      <c r="C12" s="8" t="inlineStr">
        <is>
          <t>Spain</t>
        </is>
      </c>
      <c r="D12" s="7" t="inlineStr">
        <is>
          <t>H</t>
        </is>
      </c>
      <c r="E12" s="9" t="n">
        <v>0.210455</v>
      </c>
      <c r="F12" s="9" t="n">
        <v>0.1419691715639781</v>
      </c>
      <c r="G12" s="9" t="n">
        <v>0.1844702107882586</v>
      </c>
    </row>
    <row r="13">
      <c r="B13" s="7" t="n">
        <v>2</v>
      </c>
      <c r="C13" s="8" t="inlineStr">
        <is>
          <t>France</t>
        </is>
      </c>
      <c r="D13" s="7" t="inlineStr">
        <is>
          <t>I</t>
        </is>
      </c>
      <c r="E13" s="9" t="n">
        <v>0.158445</v>
      </c>
      <c r="F13" s="9" t="n">
        <v>0.1703630058767738</v>
      </c>
      <c r="G13" s="9" t="n">
        <v>0.1706262588404223</v>
      </c>
    </row>
    <row r="14">
      <c r="B14" s="7" t="n">
        <v>3</v>
      </c>
      <c r="C14" s="8" t="inlineStr">
        <is>
          <t>Argentina</t>
        </is>
      </c>
      <c r="D14" s="7" t="inlineStr">
        <is>
          <t>J</t>
        </is>
      </c>
      <c r="E14" s="9" t="n">
        <v>0.21771</v>
      </c>
      <c r="F14" s="9" t="n">
        <v>0.0851815029383869</v>
      </c>
      <c r="G14" s="9" t="n">
        <v>0.1514521025981363</v>
      </c>
    </row>
    <row r="15">
      <c r="B15" s="7" t="n">
        <v>4</v>
      </c>
      <c r="C15" s="8" t="inlineStr">
        <is>
          <t>England</t>
        </is>
      </c>
      <c r="D15" s="7" t="inlineStr">
        <is>
          <t>L</t>
        </is>
      </c>
      <c r="E15" s="9" t="n">
        <v>0.076045</v>
      </c>
      <c r="F15" s="9" t="n">
        <v>0.1064768786729836</v>
      </c>
      <c r="G15" s="9" t="n">
        <v>0.0923407495031531</v>
      </c>
    </row>
    <row r="16">
      <c r="B16" s="7" t="n">
        <v>5</v>
      </c>
      <c r="C16" s="8" t="inlineStr">
        <is>
          <t>Portugal</t>
        </is>
      </c>
      <c r="D16" s="7" t="inlineStr">
        <is>
          <t>K</t>
        </is>
      </c>
      <c r="E16" s="9" t="n">
        <v>0.04596</v>
      </c>
      <c r="F16" s="9" t="n">
        <v>0.0946461143759854</v>
      </c>
      <c r="G16" s="9" t="n">
        <v>0.0666013284350602</v>
      </c>
    </row>
    <row r="17">
      <c r="B17" s="7" t="n">
        <v>6</v>
      </c>
      <c r="C17" s="8" t="inlineStr">
        <is>
          <t>Brazil</t>
        </is>
      </c>
      <c r="D17" s="7" t="inlineStr">
        <is>
          <t>C</t>
        </is>
      </c>
      <c r="E17" s="9" t="n">
        <v>0.04083</v>
      </c>
      <c r="F17" s="9" t="n">
        <v>0.07743772994398811</v>
      </c>
      <c r="G17" s="9" t="n">
        <v>0.0569271776341874</v>
      </c>
    </row>
    <row r="18">
      <c r="B18" s="7" t="n">
        <v>7</v>
      </c>
      <c r="C18" s="8" t="inlineStr">
        <is>
          <t>Germany</t>
        </is>
      </c>
      <c r="D18" s="7" t="inlineStr">
        <is>
          <t>E</t>
        </is>
      </c>
      <c r="E18" s="9" t="n">
        <v>0.02376</v>
      </c>
      <c r="F18" s="9" t="n">
        <v>0.0567876686255912</v>
      </c>
      <c r="G18" s="9" t="n">
        <v>0.0367817959065452</v>
      </c>
    </row>
    <row r="19">
      <c r="B19" s="7" t="n">
        <v>8</v>
      </c>
      <c r="C19" s="8" t="inlineStr">
        <is>
          <t>Netherlands</t>
        </is>
      </c>
      <c r="D19" s="7" t="inlineStr">
        <is>
          <t>F</t>
        </is>
      </c>
      <c r="E19" s="9" t="n">
        <v>0.0267</v>
      </c>
      <c r="F19" s="9" t="n">
        <v>0.044832369967572</v>
      </c>
      <c r="G19" s="9" t="n">
        <v>0.0351764734840885</v>
      </c>
    </row>
    <row r="20">
      <c r="B20" s="7" t="n">
        <v>9</v>
      </c>
      <c r="C20" s="8" t="inlineStr">
        <is>
          <t>Colombia</t>
        </is>
      </c>
      <c r="D20" s="7" t="inlineStr">
        <is>
          <t>K</t>
        </is>
      </c>
      <c r="E20" s="9" t="n">
        <v>0.04103</v>
      </c>
      <c r="F20" s="9" t="n">
        <v>0.0185177180300841</v>
      </c>
      <c r="G20" s="9" t="n">
        <v>0.0299605908524108</v>
      </c>
    </row>
    <row r="21">
      <c r="B21" s="7" t="n">
        <v>10</v>
      </c>
      <c r="C21" s="8" t="inlineStr">
        <is>
          <t>Norway</t>
        </is>
      </c>
      <c r="D21" s="7" t="inlineStr">
        <is>
          <t>I</t>
        </is>
      </c>
      <c r="E21" s="9" t="n">
        <v>0.020995</v>
      </c>
      <c r="F21" s="9" t="n">
        <v>0.0304219653351381</v>
      </c>
      <c r="G21" s="9" t="n">
        <v>0.0258658896636625</v>
      </c>
    </row>
  </sheetData>
  <mergeCells count="6">
    <mergeCell ref="B8:K8"/>
    <mergeCell ref="B7:K7"/>
    <mergeCell ref="B6:K6"/>
    <mergeCell ref="B2:K2"/>
    <mergeCell ref="B3:K3"/>
    <mergeCell ref="B5:K5"/>
  </mergeCells>
  <conditionalFormatting sqref="E12:G21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" customWidth="1" min="3" max="3"/>
    <col width="12" customWidth="1" min="4" max="4"/>
    <col width="7" customWidth="1" min="5" max="5"/>
    <col width="9" customWidth="1" min="6" max="6"/>
    <col width="7" customWidth="1" min="7" max="7"/>
    <col width="9" customWidth="1" min="8" max="8"/>
    <col width="11" customWidth="1" min="9" max="9"/>
    <col width="12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</cols>
  <sheetData>
    <row r="1" ht="22" customHeight="1">
      <c r="A1" s="10" t="inlineStr">
        <is>
          <t>CHAMPION FORECAST — all 48 teams (sorted by consensus title probability)</t>
        </is>
      </c>
    </row>
    <row r="2">
      <c r="A2" s="6" t="inlineStr">
        <is>
          <t>Rank</t>
        </is>
      </c>
      <c r="B2" s="6" t="inlineStr">
        <is>
          <t>Team</t>
        </is>
      </c>
      <c r="C2" s="6" t="inlineStr">
        <is>
          <t>Grp</t>
        </is>
      </c>
      <c r="D2" s="6" t="inlineStr">
        <is>
          <t>Confed</t>
        </is>
      </c>
      <c r="E2" s="6" t="inlineStr">
        <is>
          <t>Elo</t>
        </is>
      </c>
      <c r="F2" s="6" t="inlineStr">
        <is>
          <t>Model</t>
        </is>
      </c>
      <c r="G2" s="6" t="inlineStr">
        <is>
          <t>±SE</t>
        </is>
      </c>
      <c r="H2" s="6" t="inlineStr">
        <is>
          <t>Market</t>
        </is>
      </c>
      <c r="I2" s="6" t="inlineStr">
        <is>
          <t>Consensus</t>
        </is>
      </c>
      <c r="J2" s="6" t="inlineStr">
        <is>
          <t>Value(M−Mkt)</t>
        </is>
      </c>
      <c r="K2" s="6" t="inlineStr">
        <is>
          <t>Final</t>
        </is>
      </c>
      <c r="L2" s="6" t="inlineStr">
        <is>
          <t>Semi</t>
        </is>
      </c>
      <c r="M2" s="6" t="inlineStr">
        <is>
          <t>Quarter</t>
        </is>
      </c>
      <c r="N2" s="6" t="inlineStr">
        <is>
          <t>R16</t>
        </is>
      </c>
      <c r="O2" s="6" t="inlineStr">
        <is>
          <t>R32</t>
        </is>
      </c>
    </row>
    <row r="3">
      <c r="A3" s="11" t="n">
        <v>1</v>
      </c>
      <c r="B3" s="8" t="inlineStr">
        <is>
          <t>Spain</t>
        </is>
      </c>
      <c r="C3" s="7" t="inlineStr">
        <is>
          <t>H</t>
        </is>
      </c>
      <c r="D3" s="7" t="inlineStr">
        <is>
          <t>UEFA</t>
        </is>
      </c>
      <c r="E3" s="12" t="n">
        <v>2129</v>
      </c>
      <c r="F3" s="9" t="n">
        <v>0.210455</v>
      </c>
      <c r="G3" s="9" t="n">
        <v>0.0009114924381886</v>
      </c>
      <c r="H3" s="9" t="n">
        <v>0.1419691715639781</v>
      </c>
      <c r="I3" s="9" t="n">
        <v>0.1844702107882586</v>
      </c>
      <c r="J3" s="9" t="n">
        <v>0.0684858284360218</v>
      </c>
      <c r="K3" s="9" t="n">
        <v>0.31105</v>
      </c>
      <c r="L3" s="9" t="n">
        <v>0.48834</v>
      </c>
      <c r="M3" s="9" t="n">
        <v>0.59391</v>
      </c>
      <c r="N3" s="9" t="n">
        <v>0.77878</v>
      </c>
      <c r="O3" s="9" t="n">
        <v>0.997275</v>
      </c>
    </row>
    <row r="4">
      <c r="A4" s="11" t="n">
        <v>2</v>
      </c>
      <c r="B4" s="8" t="inlineStr">
        <is>
          <t>France</t>
        </is>
      </c>
      <c r="C4" s="7" t="inlineStr">
        <is>
          <t>I</t>
        </is>
      </c>
      <c r="D4" s="7" t="inlineStr">
        <is>
          <t>UEFA</t>
        </is>
      </c>
      <c r="E4" s="12" t="n">
        <v>2084</v>
      </c>
      <c r="F4" s="9" t="n">
        <v>0.158445</v>
      </c>
      <c r="G4" s="9" t="n">
        <v>0.0008165175502553</v>
      </c>
      <c r="H4" s="9" t="n">
        <v>0.1703630058767738</v>
      </c>
      <c r="I4" s="9" t="n">
        <v>0.1706262588404223</v>
      </c>
      <c r="J4" s="9" t="n">
        <v>-0.0119180058767738</v>
      </c>
      <c r="K4" s="9" t="n">
        <v>0.297535</v>
      </c>
      <c r="L4" s="9" t="n">
        <v>0.43944</v>
      </c>
      <c r="M4" s="9" t="n">
        <v>0.60631</v>
      </c>
      <c r="N4" s="9" t="n">
        <v>0.812125</v>
      </c>
      <c r="O4" s="9" t="n">
        <v>0.982935</v>
      </c>
    </row>
    <row r="5">
      <c r="A5" s="11" t="n">
        <v>3</v>
      </c>
      <c r="B5" s="8" t="inlineStr">
        <is>
          <t>Argentina</t>
        </is>
      </c>
      <c r="C5" s="7" t="inlineStr">
        <is>
          <t>J</t>
        </is>
      </c>
      <c r="D5" s="7" t="inlineStr">
        <is>
          <t>CONMEBOL</t>
        </is>
      </c>
      <c r="E5" s="12" t="n">
        <v>2128</v>
      </c>
      <c r="F5" s="9" t="n">
        <v>0.21771</v>
      </c>
      <c r="G5" s="9" t="n">
        <v>0.0009228010508771</v>
      </c>
      <c r="H5" s="9" t="n">
        <v>0.0851815029383869</v>
      </c>
      <c r="I5" s="9" t="n">
        <v>0.1514521025981363</v>
      </c>
      <c r="J5" s="9" t="n">
        <v>0.132528497061613</v>
      </c>
      <c r="K5" s="9" t="n">
        <v>0.322375</v>
      </c>
      <c r="L5" s="9" t="n">
        <v>0.49907</v>
      </c>
      <c r="M5" s="9" t="n">
        <v>0.65908</v>
      </c>
      <c r="N5" s="9" t="n">
        <v>0.769065</v>
      </c>
      <c r="O5" s="9" t="n">
        <v>0.992765</v>
      </c>
    </row>
    <row r="6">
      <c r="A6" s="11" t="n">
        <v>4</v>
      </c>
      <c r="B6" s="8" t="inlineStr">
        <is>
          <t>England</t>
        </is>
      </c>
      <c r="C6" s="7" t="inlineStr">
        <is>
          <t>L</t>
        </is>
      </c>
      <c r="D6" s="7" t="inlineStr">
        <is>
          <t>UEFA</t>
        </is>
      </c>
      <c r="E6" s="12" t="n">
        <v>2024</v>
      </c>
      <c r="F6" s="9" t="n">
        <v>0.076045</v>
      </c>
      <c r="G6" s="9" t="n">
        <v>0.0005927147626599</v>
      </c>
      <c r="H6" s="9" t="n">
        <v>0.1064768786729836</v>
      </c>
      <c r="I6" s="9" t="n">
        <v>0.0923407495031531</v>
      </c>
      <c r="J6" s="9" t="n">
        <v>-0.0304318786729836</v>
      </c>
      <c r="K6" s="9" t="n">
        <v>0.158905</v>
      </c>
      <c r="L6" s="9" t="n">
        <v>0.288425</v>
      </c>
      <c r="M6" s="9" t="n">
        <v>0.459865</v>
      </c>
      <c r="N6" s="9" t="n">
        <v>0.725295</v>
      </c>
      <c r="O6" s="9" t="n">
        <v>0.98544</v>
      </c>
    </row>
    <row r="7">
      <c r="A7" s="11" t="n">
        <v>5</v>
      </c>
      <c r="B7" s="8" t="inlineStr">
        <is>
          <t>Portugal</t>
        </is>
      </c>
      <c r="C7" s="7" t="inlineStr">
        <is>
          <t>K</t>
        </is>
      </c>
      <c r="D7" s="7" t="inlineStr">
        <is>
          <t>UEFA</t>
        </is>
      </c>
      <c r="E7" s="12" t="n">
        <v>1989</v>
      </c>
      <c r="F7" s="9" t="n">
        <v>0.04596</v>
      </c>
      <c r="G7" s="9" t="n">
        <v>0.0004682289952576</v>
      </c>
      <c r="H7" s="9" t="n">
        <v>0.0946461143759854</v>
      </c>
      <c r="I7" s="9" t="n">
        <v>0.0666013284350602</v>
      </c>
      <c r="J7" s="9" t="n">
        <v>-0.0486861143759854</v>
      </c>
      <c r="K7" s="9" t="n">
        <v>0.091275</v>
      </c>
      <c r="L7" s="9" t="n">
        <v>0.19728</v>
      </c>
      <c r="M7" s="9" t="n">
        <v>0.386085</v>
      </c>
      <c r="N7" s="9" t="n">
        <v>0.648275</v>
      </c>
      <c r="O7" s="9" t="n">
        <v>0.953915</v>
      </c>
    </row>
    <row r="8">
      <c r="A8" s="11" t="n">
        <v>6</v>
      </c>
      <c r="B8" s="8" t="inlineStr">
        <is>
          <t>Brazil</t>
        </is>
      </c>
      <c r="C8" s="7" t="inlineStr">
        <is>
          <t>C</t>
        </is>
      </c>
      <c r="D8" s="7" t="inlineStr">
        <is>
          <t>CONMEBOL</t>
        </is>
      </c>
      <c r="E8" s="12" t="n">
        <v>1978</v>
      </c>
      <c r="F8" s="9" t="n">
        <v>0.04083</v>
      </c>
      <c r="G8" s="9" t="n">
        <v>0.0004425093846462</v>
      </c>
      <c r="H8" s="9" t="n">
        <v>0.07743772994398811</v>
      </c>
      <c r="I8" s="9" t="n">
        <v>0.0569271776341874</v>
      </c>
      <c r="J8" s="9" t="n">
        <v>-0.0366077299439881</v>
      </c>
      <c r="K8" s="9" t="n">
        <v>0.1007</v>
      </c>
      <c r="L8" s="9" t="n">
        <v>0.194375</v>
      </c>
      <c r="M8" s="9" t="n">
        <v>0.366735</v>
      </c>
      <c r="N8" s="9" t="n">
        <v>0.592515</v>
      </c>
      <c r="O8" s="9" t="n">
        <v>0.972265</v>
      </c>
    </row>
    <row r="9">
      <c r="A9" s="11" t="n">
        <v>7</v>
      </c>
      <c r="B9" s="8" t="inlineStr">
        <is>
          <t>Germany</t>
        </is>
      </c>
      <c r="C9" s="7" t="inlineStr">
        <is>
          <t>E</t>
        </is>
      </c>
      <c r="D9" s="7" t="inlineStr">
        <is>
          <t>UEFA</t>
        </is>
      </c>
      <c r="E9" s="12" t="n">
        <v>1939</v>
      </c>
      <c r="F9" s="9" t="n">
        <v>0.02376</v>
      </c>
      <c r="G9" s="9" t="n">
        <v>0.0003405544185589</v>
      </c>
      <c r="H9" s="9" t="n">
        <v>0.0567876686255912</v>
      </c>
      <c r="I9" s="9" t="n">
        <v>0.0367817959065452</v>
      </c>
      <c r="J9" s="9" t="n">
        <v>-0.0330276686255912</v>
      </c>
      <c r="K9" s="9" t="n">
        <v>0.06833500000000001</v>
      </c>
      <c r="L9" s="9" t="n">
        <v>0.14883</v>
      </c>
      <c r="M9" s="9" t="n">
        <v>0.27672</v>
      </c>
      <c r="N9" s="9" t="n">
        <v>0.616515</v>
      </c>
      <c r="O9" s="9" t="n">
        <v>0.974005</v>
      </c>
    </row>
    <row r="10">
      <c r="A10" s="11" t="n">
        <v>8</v>
      </c>
      <c r="B10" s="8" t="inlineStr">
        <is>
          <t>Netherlands</t>
        </is>
      </c>
      <c r="C10" s="7" t="inlineStr">
        <is>
          <t>F</t>
        </is>
      </c>
      <c r="D10" s="7" t="inlineStr">
        <is>
          <t>UEFA</t>
        </is>
      </c>
      <c r="E10" s="12" t="n">
        <v>1944</v>
      </c>
      <c r="F10" s="9" t="n">
        <v>0.0267</v>
      </c>
      <c r="G10" s="9" t="n">
        <v>0.000360465740397</v>
      </c>
      <c r="H10" s="9" t="n">
        <v>0.044832369967572</v>
      </c>
      <c r="I10" s="9" t="n">
        <v>0.0351764734840885</v>
      </c>
      <c r="J10" s="9" t="n">
        <v>-0.018132369967572</v>
      </c>
      <c r="K10" s="9" t="n">
        <v>0.07395500000000001</v>
      </c>
      <c r="L10" s="9" t="n">
        <v>0.15694</v>
      </c>
      <c r="M10" s="9" t="n">
        <v>0.345335</v>
      </c>
      <c r="N10" s="9" t="n">
        <v>0.55358</v>
      </c>
      <c r="O10" s="9" t="n">
        <v>0.946725</v>
      </c>
    </row>
    <row r="11">
      <c r="A11" s="11" t="n">
        <v>9</v>
      </c>
      <c r="B11" s="8" t="inlineStr">
        <is>
          <t>Colombia</t>
        </is>
      </c>
      <c r="C11" s="7" t="inlineStr">
        <is>
          <t>K</t>
        </is>
      </c>
      <c r="D11" s="7" t="inlineStr">
        <is>
          <t>CONMEBOL</t>
        </is>
      </c>
      <c r="E11" s="12" t="n">
        <v>1982</v>
      </c>
      <c r="F11" s="9" t="n">
        <v>0.04103</v>
      </c>
      <c r="G11" s="9" t="n">
        <v>0.0004435455957396</v>
      </c>
      <c r="H11" s="9" t="n">
        <v>0.0185177180300841</v>
      </c>
      <c r="I11" s="9" t="n">
        <v>0.0299605908524108</v>
      </c>
      <c r="J11" s="9" t="n">
        <v>0.0225122819699158</v>
      </c>
      <c r="K11" s="9" t="n">
        <v>0.08369</v>
      </c>
      <c r="L11" s="9" t="n">
        <v>0.18612</v>
      </c>
      <c r="M11" s="9" t="n">
        <v>0.36933</v>
      </c>
      <c r="N11" s="9" t="n">
        <v>0.636645</v>
      </c>
      <c r="O11" s="9" t="n">
        <v>0.950595</v>
      </c>
    </row>
    <row r="12">
      <c r="A12" s="11" t="n">
        <v>10</v>
      </c>
      <c r="B12" s="8" t="inlineStr">
        <is>
          <t>Norway</t>
        </is>
      </c>
      <c r="C12" s="7" t="inlineStr">
        <is>
          <t>I</t>
        </is>
      </c>
      <c r="D12" s="7" t="inlineStr">
        <is>
          <t>UEFA</t>
        </is>
      </c>
      <c r="E12" s="12" t="n">
        <v>1929</v>
      </c>
      <c r="F12" s="9" t="n">
        <v>0.020995</v>
      </c>
      <c r="G12" s="9" t="n">
        <v>0.0003205792411791</v>
      </c>
      <c r="H12" s="9" t="n">
        <v>0.0304219653351381</v>
      </c>
      <c r="I12" s="9" t="n">
        <v>0.0258658896636625</v>
      </c>
      <c r="J12" s="9" t="n">
        <v>-0.0094269653351381</v>
      </c>
      <c r="K12" s="9" t="n">
        <v>0.05985</v>
      </c>
      <c r="L12" s="9" t="n">
        <v>0.14275</v>
      </c>
      <c r="M12" s="9" t="n">
        <v>0.29334</v>
      </c>
      <c r="N12" s="9" t="n">
        <v>0.539035</v>
      </c>
      <c r="O12" s="9" t="n">
        <v>0.88081</v>
      </c>
    </row>
    <row r="13">
      <c r="A13" s="11" t="n">
        <v>11</v>
      </c>
      <c r="B13" s="8" t="inlineStr">
        <is>
          <t>Mexico</t>
        </is>
      </c>
      <c r="C13" s="7" t="inlineStr">
        <is>
          <t>A</t>
        </is>
      </c>
      <c r="D13" s="7" t="inlineStr">
        <is>
          <t>CONCACAF</t>
        </is>
      </c>
      <c r="E13" s="12" t="n">
        <v>1881</v>
      </c>
      <c r="F13" s="9" t="n">
        <v>0.02825</v>
      </c>
      <c r="G13" s="9" t="n">
        <v>0.0003704857453398</v>
      </c>
      <c r="H13" s="9" t="n">
        <v>0.016702255478115</v>
      </c>
      <c r="I13" s="9" t="n">
        <v>0.023258506577331</v>
      </c>
      <c r="J13" s="9" t="n">
        <v>0.0115477445218849</v>
      </c>
      <c r="K13" s="9" t="n">
        <v>0.07803</v>
      </c>
      <c r="L13" s="9" t="n">
        <v>0.1661</v>
      </c>
      <c r="M13" s="9" t="n">
        <v>0.34249</v>
      </c>
      <c r="N13" s="9" t="n">
        <v>0.693755</v>
      </c>
      <c r="O13" s="9" t="n">
        <v>0.97703</v>
      </c>
    </row>
    <row r="14">
      <c r="A14" s="11" t="n">
        <v>12</v>
      </c>
      <c r="B14" s="8" t="inlineStr">
        <is>
          <t>Japan</t>
        </is>
      </c>
      <c r="C14" s="7" t="inlineStr">
        <is>
          <t>F</t>
        </is>
      </c>
      <c r="D14" s="7" t="inlineStr">
        <is>
          <t>AFC</t>
        </is>
      </c>
      <c r="E14" s="12" t="n">
        <v>1910</v>
      </c>
      <c r="F14" s="9" t="n">
        <v>0.016115</v>
      </c>
      <c r="G14" s="9" t="n">
        <v>0.0002815608883971</v>
      </c>
      <c r="H14" s="9" t="n">
        <v>0.0185177180300841</v>
      </c>
      <c r="I14" s="9" t="n">
        <v>0.0178791760464256</v>
      </c>
      <c r="J14" s="9" t="n">
        <v>-0.0024027180300841</v>
      </c>
      <c r="K14" s="9" t="n">
        <v>0.04876</v>
      </c>
      <c r="L14" s="9" t="n">
        <v>0.115615</v>
      </c>
      <c r="M14" s="9" t="n">
        <v>0.276355</v>
      </c>
      <c r="N14" s="9" t="n">
        <v>0.48593</v>
      </c>
      <c r="O14" s="9" t="n">
        <v>0.918265</v>
      </c>
    </row>
    <row r="15">
      <c r="A15" s="11" t="n">
        <v>13</v>
      </c>
      <c r="B15" s="8" t="inlineStr">
        <is>
          <t>Belgium</t>
        </is>
      </c>
      <c r="C15" s="7" t="inlineStr">
        <is>
          <t>G</t>
        </is>
      </c>
      <c r="D15" s="7" t="inlineStr">
        <is>
          <t>UEFA</t>
        </is>
      </c>
      <c r="E15" s="12" t="n">
        <v>1879</v>
      </c>
      <c r="F15" s="9" t="n">
        <v>0.010285</v>
      </c>
      <c r="G15" s="9" t="n">
        <v>0.0002256016264901</v>
      </c>
      <c r="H15" s="9" t="n">
        <v>0.0236615285939963</v>
      </c>
      <c r="I15" s="9" t="n">
        <v>0.0156157357936924</v>
      </c>
      <c r="J15" s="9" t="n">
        <v>-0.0133765285939963</v>
      </c>
      <c r="K15" s="9" t="n">
        <v>0.02718</v>
      </c>
      <c r="L15" s="9" t="n">
        <v>0.08381</v>
      </c>
      <c r="M15" s="9" t="n">
        <v>0.27538</v>
      </c>
      <c r="N15" s="9" t="n">
        <v>0.57977</v>
      </c>
      <c r="O15" s="9" t="n">
        <v>0.941075</v>
      </c>
    </row>
    <row r="16">
      <c r="A16" s="11" t="n">
        <v>14</v>
      </c>
      <c r="B16" s="8" t="inlineStr">
        <is>
          <t>Croatia</t>
        </is>
      </c>
      <c r="C16" s="7" t="inlineStr">
        <is>
          <t>L</t>
        </is>
      </c>
      <c r="D16" s="7" t="inlineStr">
        <is>
          <t>UEFA</t>
        </is>
      </c>
      <c r="E16" s="12" t="n">
        <v>1912</v>
      </c>
      <c r="F16" s="9" t="n">
        <v>0.015595</v>
      </c>
      <c r="G16" s="9" t="n">
        <v>0.0002770541100128</v>
      </c>
      <c r="H16" s="9" t="n">
        <v>0.011208092491893</v>
      </c>
      <c r="I16" s="9" t="n">
        <v>0.0140103398089759</v>
      </c>
      <c r="J16" s="9" t="n">
        <v>0.0043869075081069</v>
      </c>
      <c r="K16" s="9" t="n">
        <v>0.04332</v>
      </c>
      <c r="L16" s="9" t="n">
        <v>0.109485</v>
      </c>
      <c r="M16" s="9" t="n">
        <v>0.22205</v>
      </c>
      <c r="N16" s="9" t="n">
        <v>0.49877</v>
      </c>
      <c r="O16" s="9" t="n">
        <v>0.9365599999999999</v>
      </c>
    </row>
    <row r="17">
      <c r="A17" s="11" t="n">
        <v>15</v>
      </c>
      <c r="B17" s="8" t="inlineStr">
        <is>
          <t>United States</t>
        </is>
      </c>
      <c r="C17" s="7" t="inlineStr">
        <is>
          <t>D</t>
        </is>
      </c>
      <c r="D17" s="7" t="inlineStr">
        <is>
          <t>CONCACAF</t>
        </is>
      </c>
      <c r="E17" s="12" t="n">
        <v>1780</v>
      </c>
      <c r="F17" s="9" t="n">
        <v>0.005225</v>
      </c>
      <c r="G17" s="9" t="n">
        <v>0.0001612094813433</v>
      </c>
      <c r="H17" s="9" t="n">
        <v>0.0207759763264358</v>
      </c>
      <c r="I17" s="9" t="n">
        <v>0.0101598701156987</v>
      </c>
      <c r="J17" s="9" t="n">
        <v>-0.0155509763264358</v>
      </c>
      <c r="K17" s="9" t="n">
        <v>0.01567</v>
      </c>
      <c r="L17" s="9" t="n">
        <v>0.05188</v>
      </c>
      <c r="M17" s="9" t="n">
        <v>0.166715</v>
      </c>
      <c r="N17" s="9" t="n">
        <v>0.418675</v>
      </c>
      <c r="O17" s="9" t="n">
        <v>0.73303</v>
      </c>
    </row>
    <row r="18">
      <c r="A18" s="11" t="n">
        <v>16</v>
      </c>
      <c r="B18" s="8" t="inlineStr">
        <is>
          <t>Switzerland</t>
        </is>
      </c>
      <c r="C18" s="7" t="inlineStr">
        <is>
          <t>B</t>
        </is>
      </c>
      <c r="D18" s="7" t="inlineStr">
        <is>
          <t>UEFA</t>
        </is>
      </c>
      <c r="E18" s="12" t="n">
        <v>1865</v>
      </c>
      <c r="F18" s="9" t="n">
        <v>0.007625</v>
      </c>
      <c r="G18" s="9" t="n">
        <v>0.0001945104029994</v>
      </c>
      <c r="H18" s="9" t="n">
        <v>0.010516234930665</v>
      </c>
      <c r="I18" s="9" t="n">
        <v>0.009184538450410199</v>
      </c>
      <c r="J18" s="9" t="n">
        <v>-0.002891234930665</v>
      </c>
      <c r="K18" s="9" t="n">
        <v>0.02429</v>
      </c>
      <c r="L18" s="9" t="n">
        <v>0.074085</v>
      </c>
      <c r="M18" s="9" t="n">
        <v>0.24112</v>
      </c>
      <c r="N18" s="9" t="n">
        <v>0.60268</v>
      </c>
      <c r="O18" s="9" t="n">
        <v>0.96633</v>
      </c>
    </row>
    <row r="19">
      <c r="A19" s="11" t="n">
        <v>17</v>
      </c>
      <c r="B19" s="8" t="inlineStr">
        <is>
          <t>Morocco</t>
        </is>
      </c>
      <c r="C19" s="7" t="inlineStr">
        <is>
          <t>C</t>
        </is>
      </c>
      <c r="D19" s="7" t="inlineStr">
        <is>
          <t>CAF</t>
        </is>
      </c>
      <c r="E19" s="12" t="n">
        <v>1840</v>
      </c>
      <c r="F19" s="9" t="n">
        <v>0.004325</v>
      </c>
      <c r="G19" s="9" t="n">
        <v>0.0001467360619445</v>
      </c>
      <c r="H19" s="9" t="n">
        <v>0.0207759763264358</v>
      </c>
      <c r="I19" s="9" t="n">
        <v>0.009160881037844199</v>
      </c>
      <c r="J19" s="9" t="n">
        <v>-0.0164509763264358</v>
      </c>
      <c r="K19" s="9" t="n">
        <v>0.017325</v>
      </c>
      <c r="L19" s="9" t="n">
        <v>0.0518</v>
      </c>
      <c r="M19" s="9" t="n">
        <v>0.148985</v>
      </c>
      <c r="N19" s="9" t="n">
        <v>0.314165</v>
      </c>
      <c r="O19" s="9" t="n">
        <v>0.852645</v>
      </c>
    </row>
    <row r="20">
      <c r="A20" s="11" t="n">
        <v>18</v>
      </c>
      <c r="B20" s="8" t="inlineStr">
        <is>
          <t>Ecuador</t>
        </is>
      </c>
      <c r="C20" s="7" t="inlineStr">
        <is>
          <t>E</t>
        </is>
      </c>
      <c r="D20" s="7" t="inlineStr">
        <is>
          <t>CONMEBOL</t>
        </is>
      </c>
      <c r="E20" s="12" t="n">
        <v>1890</v>
      </c>
      <c r="F20" s="9" t="n">
        <v>0.01161</v>
      </c>
      <c r="G20" s="9" t="n">
        <v>0.0002395329611974</v>
      </c>
      <c r="H20" s="9" t="n">
        <v>0.006088931214863</v>
      </c>
      <c r="I20" s="9" t="n">
        <v>0.009053845196011399</v>
      </c>
      <c r="J20" s="9" t="n">
        <v>0.0055210687851369</v>
      </c>
      <c r="K20" s="9" t="n">
        <v>0.03731</v>
      </c>
      <c r="L20" s="9" t="n">
        <v>0.09354999999999999</v>
      </c>
      <c r="M20" s="9" t="n">
        <v>0.20334</v>
      </c>
      <c r="N20" s="9" t="n">
        <v>0.512925</v>
      </c>
      <c r="O20" s="9" t="n">
        <v>0.951515</v>
      </c>
    </row>
    <row r="21">
      <c r="A21" s="11" t="n">
        <v>19</v>
      </c>
      <c r="B21" s="8" t="inlineStr">
        <is>
          <t>Uruguay</t>
        </is>
      </c>
      <c r="C21" s="7" t="inlineStr">
        <is>
          <t>H</t>
        </is>
      </c>
      <c r="D21" s="7" t="inlineStr">
        <is>
          <t>CONMEBOL</t>
        </is>
      </c>
      <c r="E21" s="12" t="n">
        <v>1870</v>
      </c>
      <c r="F21" s="9" t="n">
        <v>0.00694</v>
      </c>
      <c r="G21" s="9" t="n">
        <v>0.0001856318453283</v>
      </c>
      <c r="H21" s="9" t="n">
        <v>0.011208092491893</v>
      </c>
      <c r="I21" s="9" t="n">
        <v>0.0089760403422616</v>
      </c>
      <c r="J21" s="9" t="n">
        <v>-0.004268092491893</v>
      </c>
      <c r="K21" s="9" t="n">
        <v>0.019345</v>
      </c>
      <c r="L21" s="9" t="n">
        <v>0.06332</v>
      </c>
      <c r="M21" s="9" t="n">
        <v>0.143725</v>
      </c>
      <c r="N21" s="9" t="n">
        <v>0.27339</v>
      </c>
      <c r="O21" s="9" t="n">
        <v>0.90239</v>
      </c>
    </row>
    <row r="22">
      <c r="A22" s="11" t="n">
        <v>20</v>
      </c>
      <c r="B22" s="8" t="inlineStr">
        <is>
          <t>Turkey</t>
        </is>
      </c>
      <c r="C22" s="7" t="inlineStr">
        <is>
          <t>D</t>
        </is>
      </c>
      <c r="D22" s="7" t="inlineStr">
        <is>
          <t>UEFA</t>
        </is>
      </c>
      <c r="E22" s="12" t="n">
        <v>1849</v>
      </c>
      <c r="F22" s="9" t="n">
        <v>0.00522</v>
      </c>
      <c r="G22" s="9" t="n">
        <v>0.0001611327341045</v>
      </c>
      <c r="H22" s="9" t="n">
        <v>0.0038609644600525</v>
      </c>
      <c r="I22" s="9" t="n">
        <v>0.0047499861324502</v>
      </c>
      <c r="J22" s="9" t="n">
        <v>0.0013590355399474</v>
      </c>
      <c r="K22" s="9" t="n">
        <v>0.01612</v>
      </c>
      <c r="L22" s="9" t="n">
        <v>0.05354</v>
      </c>
      <c r="M22" s="9" t="n">
        <v>0.17263</v>
      </c>
      <c r="N22" s="9" t="n">
        <v>0.42786</v>
      </c>
      <c r="O22" s="9" t="n">
        <v>0.7403650000000001</v>
      </c>
    </row>
    <row r="23">
      <c r="A23" s="11" t="n">
        <v>21</v>
      </c>
      <c r="B23" s="8" t="inlineStr">
        <is>
          <t>Austria</t>
        </is>
      </c>
      <c r="C23" s="7" t="inlineStr">
        <is>
          <t>J</t>
        </is>
      </c>
      <c r="D23" s="7" t="inlineStr">
        <is>
          <t>UEFA</t>
        </is>
      </c>
      <c r="E23" s="12" t="n">
        <v>1857</v>
      </c>
      <c r="F23" s="9" t="n">
        <v>0.004745</v>
      </c>
      <c r="G23" s="9" t="n">
        <v>0.0001536633491597</v>
      </c>
      <c r="H23" s="9" t="n">
        <v>0.0042198766648123</v>
      </c>
      <c r="I23" s="9" t="n">
        <v>0.0046909024014702</v>
      </c>
      <c r="J23" s="9" t="n">
        <v>0.0005251233351876</v>
      </c>
      <c r="K23" s="9" t="n">
        <v>0.013885</v>
      </c>
      <c r="L23" s="9" t="n">
        <v>0.048805</v>
      </c>
      <c r="M23" s="9" t="n">
        <v>0.122495</v>
      </c>
      <c r="N23" s="9" t="n">
        <v>0.254715</v>
      </c>
      <c r="O23" s="9" t="n">
        <v>0.7901550000000001</v>
      </c>
    </row>
    <row r="24">
      <c r="A24" s="11" t="n">
        <v>22</v>
      </c>
      <c r="B24" s="8" t="inlineStr">
        <is>
          <t>Senegal</t>
        </is>
      </c>
      <c r="C24" s="7" t="inlineStr">
        <is>
          <t>I</t>
        </is>
      </c>
      <c r="D24" s="7" t="inlineStr">
        <is>
          <t>CAF</t>
        </is>
      </c>
      <c r="E24" s="12" t="n">
        <v>1839</v>
      </c>
      <c r="F24" s="9" t="n">
        <v>0.004465</v>
      </c>
      <c r="G24" s="9" t="n">
        <v>0.0001490815846273</v>
      </c>
      <c r="H24" s="9" t="n">
        <v>0.003454942799678</v>
      </c>
      <c r="I24" s="9" t="n">
        <v>0.0041462211879355</v>
      </c>
      <c r="J24" s="9" t="n">
        <v>0.0010100572003219</v>
      </c>
      <c r="K24" s="9" t="n">
        <v>0.016085</v>
      </c>
      <c r="L24" s="9" t="n">
        <v>0.051155</v>
      </c>
      <c r="M24" s="9" t="n">
        <v>0.148245</v>
      </c>
      <c r="N24" s="9" t="n">
        <v>0.33894</v>
      </c>
      <c r="O24" s="9" t="n">
        <v>0.721375</v>
      </c>
    </row>
    <row r="25">
      <c r="A25" s="11" t="n">
        <v>23</v>
      </c>
      <c r="B25" s="8" t="inlineStr">
        <is>
          <t>Australia</t>
        </is>
      </c>
      <c r="C25" s="7" t="inlineStr">
        <is>
          <t>D</t>
        </is>
      </c>
      <c r="D25" s="7" t="inlineStr">
        <is>
          <t>AFC</t>
        </is>
      </c>
      <c r="E25" s="12" t="n">
        <v>1839</v>
      </c>
      <c r="F25" s="9" t="n">
        <v>0.004245</v>
      </c>
      <c r="G25" s="9" t="n">
        <v>0.0001453784711537</v>
      </c>
      <c r="H25" s="9" t="n">
        <v>0.003454942799678</v>
      </c>
      <c r="I25" s="9" t="n">
        <v>0.0040325352868819</v>
      </c>
      <c r="J25" s="9" t="n">
        <v>0.0007900572003219</v>
      </c>
      <c r="K25" s="9" t="n">
        <v>0.01381</v>
      </c>
      <c r="L25" s="9" t="n">
        <v>0.04781</v>
      </c>
      <c r="M25" s="9" t="n">
        <v>0.1572</v>
      </c>
      <c r="N25" s="9" t="n">
        <v>0.40355</v>
      </c>
      <c r="O25" s="9" t="n">
        <v>0.719375</v>
      </c>
    </row>
    <row r="26">
      <c r="A26" s="11" t="n">
        <v>24</v>
      </c>
      <c r="B26" s="8" t="inlineStr">
        <is>
          <t>Canada</t>
        </is>
      </c>
      <c r="C26" s="7" t="inlineStr">
        <is>
          <t>B</t>
        </is>
      </c>
      <c r="D26" s="7" t="inlineStr">
        <is>
          <t>CONCACAF</t>
        </is>
      </c>
      <c r="E26" s="12" t="n">
        <v>1767</v>
      </c>
      <c r="F26" s="9" t="n">
        <v>0.004255</v>
      </c>
      <c r="G26" s="9" t="n">
        <v>0.0001455488745233</v>
      </c>
      <c r="H26" s="9" t="n">
        <v>0.0015524058692635</v>
      </c>
      <c r="I26" s="9" t="n">
        <v>0.0028179394473535</v>
      </c>
      <c r="J26" s="9" t="n">
        <v>0.0027025941307364</v>
      </c>
      <c r="K26" s="9" t="n">
        <v>0.016015</v>
      </c>
      <c r="L26" s="9" t="n">
        <v>0.05421</v>
      </c>
      <c r="M26" s="9" t="n">
        <v>0.196365</v>
      </c>
      <c r="N26" s="9" t="n">
        <v>0.5408500000000001</v>
      </c>
      <c r="O26" s="9" t="n">
        <v>0.9484</v>
      </c>
    </row>
    <row r="27">
      <c r="A27" s="11" t="n">
        <v>25</v>
      </c>
      <c r="B27" s="8" t="inlineStr">
        <is>
          <t>South Korea</t>
        </is>
      </c>
      <c r="C27" s="7" t="inlineStr">
        <is>
          <t>A</t>
        </is>
      </c>
      <c r="D27" s="7" t="inlineStr">
        <is>
          <t>AFC</t>
        </is>
      </c>
      <c r="E27" s="12" t="n">
        <v>1786</v>
      </c>
      <c r="F27" s="9" t="n">
        <v>0.001925</v>
      </c>
      <c r="G27" s="9" t="n">
        <v>9.801261079575423e-05</v>
      </c>
      <c r="H27" s="9" t="n">
        <v>0.001917298209323</v>
      </c>
      <c r="I27" s="9" t="n">
        <v>0.0020025598824802</v>
      </c>
      <c r="J27" s="9" t="n">
        <v>7.70179067695353e-06</v>
      </c>
      <c r="K27" s="9" t="n">
        <v>0.00925</v>
      </c>
      <c r="L27" s="9" t="n">
        <v>0.033735</v>
      </c>
      <c r="M27" s="9" t="n">
        <v>0.12517</v>
      </c>
      <c r="N27" s="9" t="n">
        <v>0.397415</v>
      </c>
      <c r="O27" s="9" t="n">
        <v>0.843415</v>
      </c>
    </row>
    <row r="28">
      <c r="A28" s="11" t="n">
        <v>26</v>
      </c>
      <c r="B28" s="8" t="inlineStr">
        <is>
          <t>Scotland</t>
        </is>
      </c>
      <c r="C28" s="7" t="inlineStr">
        <is>
          <t>C</t>
        </is>
      </c>
      <c r="D28" s="7" t="inlineStr">
        <is>
          <t>UEFA</t>
        </is>
      </c>
      <c r="E28" s="12" t="n">
        <v>1794</v>
      </c>
      <c r="F28" s="9" t="n">
        <v>0.001785</v>
      </c>
      <c r="G28" s="9" t="n">
        <v>9.438786402393052e-05</v>
      </c>
      <c r="H28" s="9" t="n">
        <v>0.0020955287355581</v>
      </c>
      <c r="I28" s="9" t="n">
        <v>0.0019995123008902</v>
      </c>
      <c r="J28" s="9" t="n">
        <v>-0.0003105287355581</v>
      </c>
      <c r="K28" s="9" t="n">
        <v>0.008355</v>
      </c>
      <c r="L28" s="9" t="n">
        <v>0.02947</v>
      </c>
      <c r="M28" s="9" t="n">
        <v>0.095565</v>
      </c>
      <c r="N28" s="9" t="n">
        <v>0.22914</v>
      </c>
      <c r="O28" s="9" t="n">
        <v>0.772435</v>
      </c>
    </row>
    <row r="29">
      <c r="A29" s="11" t="n">
        <v>27</v>
      </c>
      <c r="B29" s="8" t="inlineStr">
        <is>
          <t>Paraguay</t>
        </is>
      </c>
      <c r="C29" s="7" t="inlineStr">
        <is>
          <t>D</t>
        </is>
      </c>
      <c r="D29" s="7" t="inlineStr">
        <is>
          <t>CONMEBOL</t>
        </is>
      </c>
      <c r="E29" s="12" t="n">
        <v>1780</v>
      </c>
      <c r="F29" s="9" t="n">
        <v>0.001155</v>
      </c>
      <c r="G29" s="9" t="n">
        <v>7.594952188789605e-05</v>
      </c>
      <c r="H29" s="9" t="n">
        <v>0.0017936458672103</v>
      </c>
      <c r="I29" s="9" t="n">
        <v>0.0014674213131943</v>
      </c>
      <c r="J29" s="9" t="n">
        <v>-0.0006386458672103</v>
      </c>
      <c r="K29" s="9" t="n">
        <v>0.00469</v>
      </c>
      <c r="L29" s="9" t="n">
        <v>0.02069</v>
      </c>
      <c r="M29" s="9" t="n">
        <v>0.08069</v>
      </c>
      <c r="N29" s="9" t="n">
        <v>0.25901</v>
      </c>
      <c r="O29" s="9" t="n">
        <v>0.55968</v>
      </c>
    </row>
    <row r="30">
      <c r="A30" s="11" t="n">
        <v>28</v>
      </c>
      <c r="B30" s="8" t="inlineStr">
        <is>
          <t>Iran</t>
        </is>
      </c>
      <c r="C30" s="7" t="inlineStr">
        <is>
          <t>G</t>
        </is>
      </c>
      <c r="D30" s="7" t="inlineStr">
        <is>
          <t>AFC</t>
        </is>
      </c>
      <c r="E30" s="12" t="n">
        <v>1756</v>
      </c>
      <c r="F30" s="9" t="n">
        <v>0.000875</v>
      </c>
      <c r="G30" s="9" t="n">
        <v>6.611483853871231e-05</v>
      </c>
      <c r="H30" s="9" t="n">
        <v>0.001373804198687</v>
      </c>
      <c r="I30" s="9" t="n">
        <v>0.0011171740243174</v>
      </c>
      <c r="J30" s="9" t="n">
        <v>-0.0004988041986869999</v>
      </c>
      <c r="K30" s="9" t="n">
        <v>0.003805</v>
      </c>
      <c r="L30" s="9" t="n">
        <v>0.01828</v>
      </c>
      <c r="M30" s="9" t="n">
        <v>0.08663999999999999</v>
      </c>
      <c r="N30" s="9" t="n">
        <v>0.31982</v>
      </c>
      <c r="O30" s="9" t="n">
        <v>0.779855</v>
      </c>
    </row>
    <row r="31">
      <c r="A31" s="11" t="n">
        <v>29</v>
      </c>
      <c r="B31" s="8" t="inlineStr">
        <is>
          <t>Sweden</t>
        </is>
      </c>
      <c r="C31" s="7" t="inlineStr">
        <is>
          <t>F</t>
        </is>
      </c>
      <c r="D31" s="7" t="inlineStr">
        <is>
          <t>UEFA</t>
        </is>
      </c>
      <c r="E31" s="12" t="n">
        <v>1755</v>
      </c>
      <c r="F31" s="9" t="n">
        <v>0.00077</v>
      </c>
      <c r="G31" s="9" t="n">
        <v>6.202447500785476e-05</v>
      </c>
      <c r="H31" s="9" t="n">
        <v>0.0013586241971051</v>
      </c>
      <c r="I31" s="9" t="n">
        <v>0.0010361450488844</v>
      </c>
      <c r="J31" s="9" t="n">
        <v>-0.0005886241971051</v>
      </c>
      <c r="K31" s="9" t="n">
        <v>0.00408</v>
      </c>
      <c r="L31" s="9" t="n">
        <v>0.015965</v>
      </c>
      <c r="M31" s="9" t="n">
        <v>0.06912</v>
      </c>
      <c r="N31" s="9" t="n">
        <v>0.20378</v>
      </c>
      <c r="O31" s="9" t="n">
        <v>0.6431750000000001</v>
      </c>
    </row>
    <row r="32">
      <c r="A32" s="11" t="n">
        <v>30</v>
      </c>
      <c r="B32" s="8" t="inlineStr">
        <is>
          <t>Algeria</t>
        </is>
      </c>
      <c r="C32" s="7" t="inlineStr">
        <is>
          <t>J</t>
        </is>
      </c>
      <c r="D32" s="7" t="inlineStr">
        <is>
          <t>CAF</t>
        </is>
      </c>
      <c r="E32" s="12" t="n">
        <v>1759</v>
      </c>
      <c r="F32" s="9" t="n">
        <v>0.00065</v>
      </c>
      <c r="G32" s="9" t="n">
        <v>5.699024039254441e-05</v>
      </c>
      <c r="H32" s="9" t="n">
        <v>0.0014203694479469</v>
      </c>
      <c r="I32" s="9" t="n">
        <v>0.0009630587444989</v>
      </c>
      <c r="J32" s="9" t="n">
        <v>-0.0007703694479469</v>
      </c>
      <c r="K32" s="9" t="n">
        <v>0.00275</v>
      </c>
      <c r="L32" s="9" t="n">
        <v>0.01287</v>
      </c>
      <c r="M32" s="9" t="n">
        <v>0.05125</v>
      </c>
      <c r="N32" s="9" t="n">
        <v>0.141315</v>
      </c>
      <c r="O32" s="9" t="n">
        <v>0.55204</v>
      </c>
    </row>
    <row r="33">
      <c r="A33" s="11" t="n">
        <v>31</v>
      </c>
      <c r="B33" s="8" t="inlineStr">
        <is>
          <t>Ivory Coast</t>
        </is>
      </c>
      <c r="C33" s="7" t="inlineStr">
        <is>
          <t>E</t>
        </is>
      </c>
      <c r="D33" s="7" t="inlineStr">
        <is>
          <t>CAF</t>
        </is>
      </c>
      <c r="E33" s="12" t="n">
        <v>1743</v>
      </c>
      <c r="F33" s="9" t="n">
        <v>0.00053</v>
      </c>
      <c r="G33" s="9" t="n">
        <v>5.146450718699247e-05</v>
      </c>
      <c r="H33" s="9" t="n">
        <v>0.0011890316479125</v>
      </c>
      <c r="I33" s="9" t="n">
        <v>0.0007946116114396</v>
      </c>
      <c r="J33" s="9" t="n">
        <v>-0.0006590316479125</v>
      </c>
      <c r="K33" s="9" t="n">
        <v>0.00368</v>
      </c>
      <c r="L33" s="9" t="n">
        <v>0.01503</v>
      </c>
      <c r="M33" s="9" t="n">
        <v>0.05688</v>
      </c>
      <c r="N33" s="9" t="n">
        <v>0.233485</v>
      </c>
      <c r="O33" s="9" t="n">
        <v>0.76006</v>
      </c>
    </row>
    <row r="34">
      <c r="A34" s="11" t="n">
        <v>32</v>
      </c>
      <c r="B34" s="8" t="inlineStr">
        <is>
          <t>Panama</t>
        </is>
      </c>
      <c r="C34" s="7" t="inlineStr">
        <is>
          <t>L</t>
        </is>
      </c>
      <c r="D34" s="7" t="inlineStr">
        <is>
          <t>CONCACAF</t>
        </is>
      </c>
      <c r="E34" s="12" t="n">
        <v>1730</v>
      </c>
      <c r="F34" s="9" t="n">
        <v>0.000375</v>
      </c>
      <c r="G34" s="9" t="n">
        <v>4.329315043976356e-05</v>
      </c>
      <c r="H34" s="9" t="n">
        <v>0.0010291104519034</v>
      </c>
      <c r="I34" s="9" t="n">
        <v>0.0006155985027995</v>
      </c>
      <c r="J34" s="9" t="n">
        <v>-0.0006541104519034</v>
      </c>
      <c r="K34" s="9" t="n">
        <v>0.00203</v>
      </c>
      <c r="L34" s="9" t="n">
        <v>0.01002</v>
      </c>
      <c r="M34" s="9" t="n">
        <v>0.04202</v>
      </c>
      <c r="N34" s="9" t="n">
        <v>0.148735</v>
      </c>
      <c r="O34" s="9" t="n">
        <v>0.630555</v>
      </c>
    </row>
    <row r="35">
      <c r="A35" s="11" t="n">
        <v>33</v>
      </c>
      <c r="B35" s="8" t="inlineStr">
        <is>
          <t>Czech Republic</t>
        </is>
      </c>
      <c r="C35" s="7" t="inlineStr">
        <is>
          <t>A</t>
        </is>
      </c>
      <c r="D35" s="7" t="inlineStr">
        <is>
          <t>UEFA</t>
        </is>
      </c>
      <c r="E35" s="12" t="n">
        <v>1712</v>
      </c>
      <c r="F35" s="9" t="n">
        <v>0.00036</v>
      </c>
      <c r="G35" s="9" t="n">
        <v>4.24187694305245e-05</v>
      </c>
      <c r="H35" s="9" t="n">
        <v>0.0008425643752873</v>
      </c>
      <c r="I35" s="9" t="n">
        <v>0.0005501073669495</v>
      </c>
      <c r="J35" s="9" t="n">
        <v>-0.0004825643752873</v>
      </c>
      <c r="K35" s="9" t="n">
        <v>0.00245</v>
      </c>
      <c r="L35" s="9" t="n">
        <v>0.011565</v>
      </c>
      <c r="M35" s="9" t="n">
        <v>0.059085</v>
      </c>
      <c r="N35" s="9" t="n">
        <v>0.245625</v>
      </c>
      <c r="O35" s="9" t="n">
        <v>0.69803</v>
      </c>
    </row>
    <row r="36">
      <c r="A36" s="11" t="n">
        <v>34</v>
      </c>
      <c r="B36" s="8" t="inlineStr">
        <is>
          <t>Egypt</t>
        </is>
      </c>
      <c r="C36" s="7" t="inlineStr">
        <is>
          <t>G</t>
        </is>
      </c>
      <c r="D36" s="7" t="inlineStr">
        <is>
          <t>CAF</t>
        </is>
      </c>
      <c r="E36" s="12" t="n">
        <v>1711</v>
      </c>
      <c r="F36" s="9" t="n">
        <v>0.000305</v>
      </c>
      <c r="G36" s="9" t="n">
        <v>3.904529260999333e-05</v>
      </c>
      <c r="H36" s="9" t="n">
        <v>0.0008332543669456</v>
      </c>
      <c r="I36" s="9" t="n">
        <v>0.0004996669130056</v>
      </c>
      <c r="J36" s="9" t="n">
        <v>-0.0005282543669456</v>
      </c>
      <c r="K36" s="9" t="n">
        <v>0.001355</v>
      </c>
      <c r="L36" s="9" t="n">
        <v>0.00878</v>
      </c>
      <c r="M36" s="9" t="n">
        <v>0.05141</v>
      </c>
      <c r="N36" s="9" t="n">
        <v>0.233295</v>
      </c>
      <c r="O36" s="9" t="n">
        <v>0.68174</v>
      </c>
    </row>
    <row r="37">
      <c r="A37" s="11" t="n">
        <v>35</v>
      </c>
      <c r="B37" s="8" t="inlineStr">
        <is>
          <t>Uzbekistan</t>
        </is>
      </c>
      <c r="C37" s="7" t="inlineStr">
        <is>
          <t>K</t>
        </is>
      </c>
      <c r="D37" s="7" t="inlineStr">
        <is>
          <t>AFC</t>
        </is>
      </c>
      <c r="E37" s="12" t="n">
        <v>1714</v>
      </c>
      <c r="F37" s="9" t="n">
        <v>0.000275</v>
      </c>
      <c r="G37" s="9" t="n">
        <v>3.707589344843898e-05</v>
      </c>
      <c r="H37" s="9" t="n">
        <v>0.0008614976182988999</v>
      </c>
      <c r="I37" s="9" t="n">
        <v>0.0004791483427511</v>
      </c>
      <c r="J37" s="9" t="n">
        <v>-0.0005864976182989</v>
      </c>
      <c r="K37" s="9" t="n">
        <v>0.00133</v>
      </c>
      <c r="L37" s="9" t="n">
        <v>0.00673</v>
      </c>
      <c r="M37" s="9" t="n">
        <v>0.026665</v>
      </c>
      <c r="N37" s="9" t="n">
        <v>0.10317</v>
      </c>
      <c r="O37" s="9" t="n">
        <v>0.440305</v>
      </c>
    </row>
    <row r="38">
      <c r="A38" s="11" t="n">
        <v>36</v>
      </c>
      <c r="B38" s="8" t="inlineStr">
        <is>
          <t>DR Congo</t>
        </is>
      </c>
      <c r="C38" s="7" t="inlineStr">
        <is>
          <t>K</t>
        </is>
      </c>
      <c r="D38" s="7" t="inlineStr">
        <is>
          <t>CAF</t>
        </is>
      </c>
      <c r="E38" s="12" t="n">
        <v>1652</v>
      </c>
      <c r="F38" s="9" t="n">
        <v>6e-05</v>
      </c>
      <c r="G38" s="9" t="n">
        <v>1.731998845265204e-05</v>
      </c>
      <c r="H38" s="9" t="n">
        <v>0.0004325869741595</v>
      </c>
      <c r="I38" s="9" t="n">
        <v>0.0001521212853548</v>
      </c>
      <c r="J38" s="9" t="n">
        <v>-0.0003725869741595</v>
      </c>
      <c r="K38" s="9" t="n">
        <v>0.000325</v>
      </c>
      <c r="L38" s="9" t="n">
        <v>0.00186</v>
      </c>
      <c r="M38" s="9" t="n">
        <v>0.00942</v>
      </c>
      <c r="N38" s="9" t="n">
        <v>0.04687</v>
      </c>
      <c r="O38" s="9" t="n">
        <v>0.268765</v>
      </c>
    </row>
    <row r="39">
      <c r="A39" s="11" t="n">
        <v>37</v>
      </c>
      <c r="B39" s="8" t="inlineStr">
        <is>
          <t>Bosnia and Herzegovina</t>
        </is>
      </c>
      <c r="C39" s="7" t="inlineStr">
        <is>
          <t>B</t>
        </is>
      </c>
      <c r="D39" s="7" t="inlineStr">
        <is>
          <t>UEFA</t>
        </is>
      </c>
      <c r="E39" s="12" t="n">
        <v>1616</v>
      </c>
      <c r="F39" s="9" t="n">
        <v>2.5e-05</v>
      </c>
      <c r="G39" s="9" t="n">
        <v>1.118020013237688e-05</v>
      </c>
      <c r="H39" s="9" t="n">
        <v>0.000289971720433</v>
      </c>
      <c r="I39" s="9" t="n">
        <v>7.850462356293808e-05</v>
      </c>
      <c r="J39" s="9" t="n">
        <v>-0.000264971720433</v>
      </c>
      <c r="K39" s="9" t="n">
        <v>0.000365</v>
      </c>
      <c r="L39" s="9" t="n">
        <v>0.002595</v>
      </c>
      <c r="M39" s="9" t="n">
        <v>0.024145</v>
      </c>
      <c r="N39" s="9" t="n">
        <v>0.13439</v>
      </c>
      <c r="O39" s="9" t="n">
        <v>0.58311</v>
      </c>
    </row>
    <row r="40">
      <c r="A40" s="11" t="n">
        <v>38</v>
      </c>
      <c r="B40" s="8" t="inlineStr">
        <is>
          <t>Saudi Arabia</t>
        </is>
      </c>
      <c r="C40" s="7" t="inlineStr">
        <is>
          <t>H</t>
        </is>
      </c>
      <c r="D40" s="7" t="inlineStr">
        <is>
          <t>AFC</t>
        </is>
      </c>
      <c r="E40" s="12" t="n">
        <v>1598</v>
      </c>
      <c r="F40" s="9" t="n">
        <v>2.5e-05</v>
      </c>
      <c r="G40" s="9" t="n">
        <v>1.118020013237688e-05</v>
      </c>
      <c r="H40" s="9" t="n">
        <v>0.0002374087650414</v>
      </c>
      <c r="I40" s="9" t="n">
        <v>7.174659143836021e-05</v>
      </c>
      <c r="J40" s="9" t="n">
        <v>-0.0002124087650414</v>
      </c>
      <c r="K40" s="9" t="n">
        <v>9.500000000000001e-05</v>
      </c>
      <c r="L40" s="9" t="n">
        <v>0.00078</v>
      </c>
      <c r="M40" s="9" t="n">
        <v>0.00693</v>
      </c>
      <c r="N40" s="9" t="n">
        <v>0.034885</v>
      </c>
      <c r="O40" s="9" t="n">
        <v>0.287735</v>
      </c>
    </row>
    <row r="41">
      <c r="A41" s="11" t="n">
        <v>39</v>
      </c>
      <c r="B41" s="8" t="inlineStr">
        <is>
          <t>Iraq</t>
        </is>
      </c>
      <c r="C41" s="7" t="inlineStr">
        <is>
          <t>I</t>
        </is>
      </c>
      <c r="D41" s="7" t="inlineStr">
        <is>
          <t>AFC</t>
        </is>
      </c>
      <c r="E41" s="12" t="n">
        <v>1592</v>
      </c>
      <c r="F41" s="9" t="n">
        <v>2e-05</v>
      </c>
      <c r="G41" s="9" t="n">
        <v>9.999899999499995e-06</v>
      </c>
      <c r="H41" s="9" t="n">
        <v>0.000222097558004</v>
      </c>
      <c r="I41" s="9" t="n">
        <v>6.158457934951603e-05</v>
      </c>
      <c r="J41" s="9" t="n">
        <v>-0.000202097558004</v>
      </c>
      <c r="K41" s="9" t="n">
        <v>6e-05</v>
      </c>
      <c r="L41" s="9" t="n">
        <v>0.000435</v>
      </c>
      <c r="M41" s="9" t="n">
        <v>0.004105</v>
      </c>
      <c r="N41" s="9" t="n">
        <v>0.020805</v>
      </c>
      <c r="O41" s="9" t="n">
        <v>0.11188</v>
      </c>
    </row>
    <row r="42">
      <c r="A42" s="11" t="n">
        <v>40</v>
      </c>
      <c r="B42" s="8" t="inlineStr">
        <is>
          <t>Tunisia</t>
        </is>
      </c>
      <c r="C42" s="7" t="inlineStr">
        <is>
          <t>F</t>
        </is>
      </c>
      <c r="D42" s="7" t="inlineStr">
        <is>
          <t>CAF</t>
        </is>
      </c>
      <c r="E42" s="12" t="n">
        <v>1585</v>
      </c>
      <c r="F42" s="9" t="n">
        <v>1e-05</v>
      </c>
      <c r="G42" s="9" t="n">
        <v>7.071032456438028e-06</v>
      </c>
      <c r="H42" s="9" t="n">
        <v>0.0002054779970798</v>
      </c>
      <c r="I42" s="9" t="n">
        <v>4.061704045897128e-05</v>
      </c>
      <c r="J42" s="9" t="n">
        <v>-0.0001954779970798</v>
      </c>
      <c r="K42" s="9" t="n">
        <v>6.999999999999999e-05</v>
      </c>
      <c r="L42" s="9" t="n">
        <v>0.000575</v>
      </c>
      <c r="M42" s="9" t="n">
        <v>0.00486</v>
      </c>
      <c r="N42" s="9" t="n">
        <v>0.02864</v>
      </c>
      <c r="O42" s="9" t="n">
        <v>0.18531</v>
      </c>
    </row>
    <row r="43">
      <c r="A43" s="11" t="n">
        <v>41</v>
      </c>
      <c r="B43" s="8" t="inlineStr">
        <is>
          <t>New Zealand</t>
        </is>
      </c>
      <c r="C43" s="7" t="inlineStr">
        <is>
          <t>G</t>
        </is>
      </c>
      <c r="D43" s="7" t="inlineStr">
        <is>
          <t>OFC</t>
        </is>
      </c>
      <c r="E43" s="12" t="n">
        <v>1578</v>
      </c>
      <c r="F43" s="9" t="n">
        <v>1e-05</v>
      </c>
      <c r="G43" s="9" t="n">
        <v>7.071032456438028e-06</v>
      </c>
      <c r="H43" s="9" t="n">
        <v>0.0001901020779489</v>
      </c>
      <c r="I43" s="9" t="n">
        <v>3.921981542051676e-05</v>
      </c>
      <c r="J43" s="9" t="n">
        <v>-0.0001801020779489</v>
      </c>
      <c r="K43" s="9" t="n">
        <v>7.499999999999999e-05</v>
      </c>
      <c r="L43" s="9" t="n">
        <v>0.00058</v>
      </c>
      <c r="M43" s="9" t="n">
        <v>0.006635</v>
      </c>
      <c r="N43" s="9" t="n">
        <v>0.0573</v>
      </c>
      <c r="O43" s="9" t="n">
        <v>0.30255</v>
      </c>
    </row>
    <row r="44">
      <c r="A44" s="11" t="n">
        <v>42</v>
      </c>
      <c r="B44" s="8" t="inlineStr">
        <is>
          <t>Jordan</t>
        </is>
      </c>
      <c r="C44" s="7" t="inlineStr">
        <is>
          <t>J</t>
        </is>
      </c>
      <c r="D44" s="7" t="inlineStr">
        <is>
          <t>AFC</t>
        </is>
      </c>
      <c r="E44" s="12" t="n">
        <v>1653</v>
      </c>
      <c r="F44" s="9" t="n">
        <v>5e-06</v>
      </c>
      <c r="G44" s="9" t="n">
        <v>4.999987499984375e-06</v>
      </c>
      <c r="H44" s="9" t="n">
        <v>0.0004374202981692</v>
      </c>
      <c r="I44" s="9" t="n">
        <v>3.898043965472749e-05</v>
      </c>
      <c r="J44" s="9" t="n">
        <v>-0.0004324202981692</v>
      </c>
      <c r="K44" s="9" t="n">
        <v>0.000235</v>
      </c>
      <c r="L44" s="9" t="n">
        <v>0.00172</v>
      </c>
      <c r="M44" s="9" t="n">
        <v>0.01093</v>
      </c>
      <c r="N44" s="9" t="n">
        <v>0.044835</v>
      </c>
      <c r="O44" s="9" t="n">
        <v>0.25701</v>
      </c>
    </row>
    <row r="45">
      <c r="A45" s="11" t="n">
        <v>43</v>
      </c>
      <c r="B45" s="8" t="inlineStr">
        <is>
          <t>Cape Verde</t>
        </is>
      </c>
      <c r="C45" s="7" t="inlineStr">
        <is>
          <t>H</t>
        </is>
      </c>
      <c r="D45" s="7" t="inlineStr">
        <is>
          <t>CAF</t>
        </is>
      </c>
      <c r="E45" s="12" t="n">
        <v>1606</v>
      </c>
      <c r="F45" s="9" t="n">
        <v>5e-06</v>
      </c>
      <c r="G45" s="9" t="n">
        <v>4.999987499984375e-06</v>
      </c>
      <c r="H45" s="9" t="n">
        <v>0.0002594780962077</v>
      </c>
      <c r="I45" s="9" t="n">
        <v>3.081457236459391e-05</v>
      </c>
      <c r="J45" s="9" t="n">
        <v>-0.0002544780962077</v>
      </c>
      <c r="K45" s="9" t="n">
        <v>0.000105</v>
      </c>
      <c r="L45" s="9" t="n">
        <v>0.00106</v>
      </c>
      <c r="M45" s="9" t="n">
        <v>0.008274999999999999</v>
      </c>
      <c r="N45" s="9" t="n">
        <v>0.03846</v>
      </c>
      <c r="O45" s="9" t="n">
        <v>0.30553</v>
      </c>
    </row>
    <row r="46">
      <c r="A46" s="11" t="n">
        <v>44</v>
      </c>
      <c r="B46" s="8" t="inlineStr">
        <is>
          <t>Haiti</t>
        </is>
      </c>
      <c r="C46" s="7" t="inlineStr">
        <is>
          <t>C</t>
        </is>
      </c>
      <c r="D46" s="7" t="inlineStr">
        <is>
          <t>CONCACAF</t>
        </is>
      </c>
      <c r="E46" s="12" t="n">
        <v>1536</v>
      </c>
      <c r="F46" s="9" t="n">
        <v>5e-06</v>
      </c>
      <c r="G46" s="9" t="n">
        <v>4.999987499984375e-06</v>
      </c>
      <c r="H46" s="9" t="n">
        <v>0.0001192109381695</v>
      </c>
      <c r="I46" s="9" t="n">
        <v>2.171348090871139e-05</v>
      </c>
      <c r="J46" s="9" t="n">
        <v>-0.0001142109381695</v>
      </c>
      <c r="K46" s="9" t="n">
        <v>3.5e-05</v>
      </c>
      <c r="L46" s="9" t="n">
        <v>0.00023</v>
      </c>
      <c r="M46" s="9" t="n">
        <v>0.00161</v>
      </c>
      <c r="N46" s="9" t="n">
        <v>0.010345</v>
      </c>
      <c r="O46" s="9" t="n">
        <v>0.125455</v>
      </c>
    </row>
    <row r="47">
      <c r="A47" s="11" t="n">
        <v>45</v>
      </c>
      <c r="B47" s="8" t="inlineStr">
        <is>
          <t>South Africa</t>
        </is>
      </c>
      <c r="C47" s="7" t="inlineStr">
        <is>
          <t>A</t>
        </is>
      </c>
      <c r="D47" s="7" t="inlineStr">
        <is>
          <t>CAF</t>
        </is>
      </c>
      <c r="E47" s="12" t="n">
        <v>1511</v>
      </c>
      <c r="F47" s="9" t="n">
        <v>0</v>
      </c>
      <c r="G47" s="9" t="n">
        <v>0</v>
      </c>
      <c r="H47" s="9" t="n">
        <v>9.029812858690964e-05</v>
      </c>
      <c r="I47" s="9" t="n">
        <v>1.770154886179945e-07</v>
      </c>
      <c r="J47" s="9" t="n">
        <v>-9.029812858690964e-05</v>
      </c>
      <c r="K47" s="9" t="n">
        <v>2e-05</v>
      </c>
      <c r="L47" s="9" t="n">
        <v>0.000175</v>
      </c>
      <c r="M47" s="9" t="n">
        <v>0.00242</v>
      </c>
      <c r="N47" s="9" t="n">
        <v>0.02453</v>
      </c>
      <c r="O47" s="9" t="n">
        <v>0.16746</v>
      </c>
    </row>
    <row r="48">
      <c r="A48" s="11" t="n">
        <v>46</v>
      </c>
      <c r="B48" s="8" t="inlineStr">
        <is>
          <t>Ghana</t>
        </is>
      </c>
      <c r="C48" s="7" t="inlineStr">
        <is>
          <t>L</t>
        </is>
      </c>
      <c r="D48" s="7" t="inlineStr">
        <is>
          <t>CAF</t>
        </is>
      </c>
      <c r="E48" s="12" t="n">
        <v>1510</v>
      </c>
      <c r="F48" s="9" t="n">
        <v>0</v>
      </c>
      <c r="G48" s="9" t="n">
        <v>0</v>
      </c>
      <c r="H48" s="9" t="n">
        <v>8.930036941853693e-05</v>
      </c>
      <c r="I48" s="9" t="n">
        <v>1.76132541245362e-07</v>
      </c>
      <c r="J48" s="9" t="n">
        <v>-8.930036941853693e-05</v>
      </c>
      <c r="K48" s="9" t="n">
        <v>1e-05</v>
      </c>
      <c r="L48" s="9" t="n">
        <v>8.000000000000001e-05</v>
      </c>
      <c r="M48" s="9" t="n">
        <v>0.000945</v>
      </c>
      <c r="N48" s="9" t="n">
        <v>0.007615</v>
      </c>
      <c r="O48" s="9" t="n">
        <v>0.101745</v>
      </c>
    </row>
    <row r="49">
      <c r="A49" s="11" t="n">
        <v>47</v>
      </c>
      <c r="B49" s="8" t="inlineStr">
        <is>
          <t>Qatar</t>
        </is>
      </c>
      <c r="C49" s="7" t="inlineStr">
        <is>
          <t>B</t>
        </is>
      </c>
      <c r="D49" s="7" t="inlineStr">
        <is>
          <t>AFC</t>
        </is>
      </c>
      <c r="E49" s="12" t="n">
        <v>1447</v>
      </c>
      <c r="F49" s="9" t="n">
        <v>0</v>
      </c>
      <c r="G49" s="9" t="n">
        <v>0</v>
      </c>
      <c r="H49" s="9" t="n">
        <v>4.434525107638925e-05</v>
      </c>
      <c r="I49" s="9" t="n">
        <v>1.285369743901888e-07</v>
      </c>
      <c r="J49" s="9" t="n">
        <v>-4.434525107638925e-05</v>
      </c>
      <c r="K49" s="9" t="n">
        <v>1.5e-05</v>
      </c>
      <c r="L49" s="9" t="n">
        <v>3.5e-05</v>
      </c>
      <c r="M49" s="9" t="n">
        <v>0.001265</v>
      </c>
      <c r="N49" s="9" t="n">
        <v>0.01481</v>
      </c>
      <c r="O49" s="9" t="n">
        <v>0.14955</v>
      </c>
    </row>
    <row r="50">
      <c r="A50" s="11" t="n">
        <v>48</v>
      </c>
      <c r="B50" s="8" t="inlineStr">
        <is>
          <t>Curacao</t>
        </is>
      </c>
      <c r="C50" s="7" t="inlineStr">
        <is>
          <t>E</t>
        </is>
      </c>
      <c r="D50" s="7" t="inlineStr">
        <is>
          <t>CONCACAF</t>
        </is>
      </c>
      <c r="E50" s="12" t="n">
        <v>1427</v>
      </c>
      <c r="F50" s="9" t="n">
        <v>0</v>
      </c>
      <c r="G50" s="9" t="n">
        <v>0</v>
      </c>
      <c r="H50" s="9" t="n">
        <v>3.550890117860171e-05</v>
      </c>
      <c r="I50" s="9" t="n">
        <v>1.163046029064336e-07</v>
      </c>
      <c r="J50" s="9" t="n">
        <v>-3.550890117860171e-05</v>
      </c>
      <c r="K50" s="9" t="n">
        <v>0</v>
      </c>
      <c r="L50" s="9" t="n">
        <v>5e-06</v>
      </c>
      <c r="M50" s="9" t="n">
        <v>0.00016</v>
      </c>
      <c r="N50" s="9" t="n">
        <v>0.00392</v>
      </c>
      <c r="O50" s="9" t="n">
        <v>0.05737</v>
      </c>
    </row>
  </sheetData>
  <mergeCells count="1">
    <mergeCell ref="A1:O1"/>
  </mergeCells>
  <conditionalFormatting sqref="F3:F50">
    <cfRule type="colorScale" priority="1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I3:I50">
    <cfRule type="colorScale" priority="2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K3:K50">
    <cfRule type="colorScale" priority="3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L3:L50">
    <cfRule type="colorScale" priority="4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M3:M50">
    <cfRule type="colorScale" priority="5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N3:N50">
    <cfRule type="colorScale" priority="6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O3:O50">
    <cfRule type="colorScale" priority="7">
      <colorScale>
        <cfvo type="min"/>
        <cfvo type="percentile" val="55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7" customWidth="1" min="3" max="3"/>
    <col width="9" customWidth="1" min="4" max="4"/>
    <col width="11" customWidth="1" min="5" max="5"/>
    <col width="11" customWidth="1" min="6" max="6"/>
    <col width="8" customWidth="1" min="7" max="7"/>
    <col width="9" customWidth="1" min="8" max="8"/>
    <col width="10" customWidth="1" min="9" max="9"/>
  </cols>
  <sheetData>
    <row r="1" ht="22" customHeight="1">
      <c r="A1" s="10" t="inlineStr">
        <is>
          <t>GROUP STAGE — qualification probabilities (Monte-Carlo, tiebreakers applied)</t>
        </is>
      </c>
    </row>
    <row r="2">
      <c r="A2" s="6" t="inlineStr">
        <is>
          <t>Grp</t>
        </is>
      </c>
      <c r="B2" s="6" t="inlineStr">
        <is>
          <t>Team</t>
        </is>
      </c>
      <c r="C2" s="6" t="inlineStr">
        <is>
          <t>Elo</t>
        </is>
      </c>
      <c r="D2" s="6" t="inlineStr">
        <is>
          <t>Exp.Pts</t>
        </is>
      </c>
      <c r="E2" s="6" t="inlineStr">
        <is>
          <t>Win Group</t>
        </is>
      </c>
      <c r="F2" s="6" t="inlineStr">
        <is>
          <t>Runner-up</t>
        </is>
      </c>
      <c r="G2" s="6" t="inlineStr">
        <is>
          <t>3rd</t>
        </is>
      </c>
      <c r="H2" s="6" t="inlineStr">
        <is>
          <t>Top-2</t>
        </is>
      </c>
      <c r="I2" s="6" t="inlineStr">
        <is>
          <t>Reach R32</t>
        </is>
      </c>
    </row>
    <row r="3">
      <c r="A3" s="8" t="inlineStr">
        <is>
          <t>A</t>
        </is>
      </c>
      <c r="B3" s="8" t="inlineStr">
        <is>
          <t>Mexico</t>
        </is>
      </c>
      <c r="C3" s="12" t="n">
        <v>1881</v>
      </c>
      <c r="D3" s="7" t="n">
        <v>6.9403</v>
      </c>
      <c r="E3" s="9" t="n">
        <v>0.6676</v>
      </c>
      <c r="F3" s="9" t="n">
        <v>0.23674</v>
      </c>
      <c r="G3" s="9" t="n">
        <v>0.082855</v>
      </c>
      <c r="H3" s="9" t="n">
        <v>0.90434</v>
      </c>
      <c r="I3" s="9" t="n">
        <v>0.97703</v>
      </c>
    </row>
    <row r="4">
      <c r="A4" s="8" t="inlineStr">
        <is>
          <t>A</t>
        </is>
      </c>
      <c r="B4" s="8" t="inlineStr">
        <is>
          <t>South Korea</t>
        </is>
      </c>
      <c r="C4" s="12" t="n">
        <v>1786</v>
      </c>
      <c r="D4" s="7" t="n">
        <v>4.828385</v>
      </c>
      <c r="E4" s="9" t="n">
        <v>0.21395</v>
      </c>
      <c r="F4" s="9" t="n">
        <v>0.414095</v>
      </c>
      <c r="G4" s="9" t="n">
        <v>0.2866</v>
      </c>
      <c r="H4" s="9" t="n">
        <v>0.628045</v>
      </c>
      <c r="I4" s="9" t="n">
        <v>0.843415</v>
      </c>
    </row>
    <row r="5">
      <c r="A5" s="8" t="inlineStr">
        <is>
          <t>A</t>
        </is>
      </c>
      <c r="B5" s="8" t="inlineStr">
        <is>
          <t>Czech Republic</t>
        </is>
      </c>
      <c r="C5" s="12" t="n">
        <v>1712</v>
      </c>
      <c r="D5" s="7" t="n">
        <v>3.813045</v>
      </c>
      <c r="E5" s="9" t="n">
        <v>0.109035</v>
      </c>
      <c r="F5" s="9" t="n">
        <v>0.290535</v>
      </c>
      <c r="G5" s="9" t="n">
        <v>0.430525</v>
      </c>
      <c r="H5" s="9" t="n">
        <v>0.39957</v>
      </c>
      <c r="I5" s="9" t="n">
        <v>0.69803</v>
      </c>
    </row>
    <row r="6">
      <c r="A6" s="8" t="inlineStr">
        <is>
          <t>A</t>
        </is>
      </c>
      <c r="B6" s="8" t="inlineStr">
        <is>
          <t>South Africa</t>
        </is>
      </c>
      <c r="C6" s="12" t="n">
        <v>1511</v>
      </c>
      <c r="D6" s="7" t="n">
        <v>1.3412</v>
      </c>
      <c r="E6" s="9" t="n">
        <v>0.009415</v>
      </c>
      <c r="F6" s="9" t="n">
        <v>0.05863</v>
      </c>
      <c r="G6" s="9" t="n">
        <v>0.20002</v>
      </c>
      <c r="H6" s="9" t="n">
        <v>0.06804499999999999</v>
      </c>
      <c r="I6" s="9" t="n">
        <v>0.16746</v>
      </c>
    </row>
    <row r="7">
      <c r="A7" s="8" t="inlineStr">
        <is>
          <t>B</t>
        </is>
      </c>
      <c r="B7" s="8" t="inlineStr">
        <is>
          <t>Switzerland</t>
        </is>
      </c>
      <c r="C7" s="12" t="n">
        <v>1865</v>
      </c>
      <c r="D7" s="7" t="n">
        <v>6.46837</v>
      </c>
      <c r="E7" s="9" t="n">
        <v>0.516825</v>
      </c>
      <c r="F7" s="9" t="n">
        <v>0.35771</v>
      </c>
      <c r="G7" s="9" t="n">
        <v>0.108495</v>
      </c>
      <c r="H7" s="9" t="n">
        <v>0.874535</v>
      </c>
      <c r="I7" s="9" t="n">
        <v>0.96633</v>
      </c>
    </row>
    <row r="8">
      <c r="A8" s="8" t="inlineStr">
        <is>
          <t>B</t>
        </is>
      </c>
      <c r="B8" s="8" t="inlineStr">
        <is>
          <t>Canada</t>
        </is>
      </c>
      <c r="C8" s="12" t="n">
        <v>1767</v>
      </c>
      <c r="D8" s="7" t="n">
        <v>6.054165</v>
      </c>
      <c r="E8" s="9" t="n">
        <v>0.41344</v>
      </c>
      <c r="F8" s="9" t="n">
        <v>0.4171</v>
      </c>
      <c r="G8" s="9" t="n">
        <v>0.14357</v>
      </c>
      <c r="H8" s="9" t="n">
        <v>0.8305399999999999</v>
      </c>
      <c r="I8" s="9" t="n">
        <v>0.9484</v>
      </c>
    </row>
    <row r="9">
      <c r="A9" s="8" t="inlineStr">
        <is>
          <t>B</t>
        </is>
      </c>
      <c r="B9" s="8" t="inlineStr">
        <is>
          <t>Bosnia and Herzegovina</t>
        </is>
      </c>
      <c r="C9" s="12" t="n">
        <v>1616</v>
      </c>
      <c r="D9" s="7" t="n">
        <v>3.19482</v>
      </c>
      <c r="E9" s="9" t="n">
        <v>0.062125</v>
      </c>
      <c r="F9" s="9" t="n">
        <v>0.184195</v>
      </c>
      <c r="G9" s="9" t="n">
        <v>0.5264799999999999</v>
      </c>
      <c r="H9" s="9" t="n">
        <v>0.24632</v>
      </c>
      <c r="I9" s="9" t="n">
        <v>0.58311</v>
      </c>
    </row>
    <row r="10">
      <c r="A10" s="8" t="inlineStr">
        <is>
          <t>B</t>
        </is>
      </c>
      <c r="B10" s="8" t="inlineStr">
        <is>
          <t>Qatar</t>
        </is>
      </c>
      <c r="C10" s="12" t="n">
        <v>1447</v>
      </c>
      <c r="D10" s="7" t="n">
        <v>1.257305</v>
      </c>
      <c r="E10" s="9" t="n">
        <v>0.00761</v>
      </c>
      <c r="F10" s="9" t="n">
        <v>0.040995</v>
      </c>
      <c r="G10" s="9" t="n">
        <v>0.221455</v>
      </c>
      <c r="H10" s="9" t="n">
        <v>0.048605</v>
      </c>
      <c r="I10" s="9" t="n">
        <v>0.14955</v>
      </c>
    </row>
    <row r="11">
      <c r="A11" s="8" t="inlineStr">
        <is>
          <t>C</t>
        </is>
      </c>
      <c r="B11" s="8" t="inlineStr">
        <is>
          <t>Brazil</t>
        </is>
      </c>
      <c r="C11" s="12" t="n">
        <v>1978</v>
      </c>
      <c r="D11" s="7" t="n">
        <v>6.716695</v>
      </c>
      <c r="E11" s="9" t="n">
        <v>0.6151450000000001</v>
      </c>
      <c r="F11" s="9" t="n">
        <v>0.26153</v>
      </c>
      <c r="G11" s="9" t="n">
        <v>0.108925</v>
      </c>
      <c r="H11" s="9" t="n">
        <v>0.876675</v>
      </c>
      <c r="I11" s="9" t="n">
        <v>0.972265</v>
      </c>
    </row>
    <row r="12">
      <c r="A12" s="8" t="inlineStr">
        <is>
          <t>C</t>
        </is>
      </c>
      <c r="B12" s="8" t="inlineStr">
        <is>
          <t>Morocco</t>
        </is>
      </c>
      <c r="C12" s="12" t="n">
        <v>1840</v>
      </c>
      <c r="D12" s="7" t="n">
        <v>4.863415</v>
      </c>
      <c r="E12" s="9" t="n">
        <v>0.22647</v>
      </c>
      <c r="F12" s="9" t="n">
        <v>0.382165</v>
      </c>
      <c r="G12" s="9" t="n">
        <v>0.316125</v>
      </c>
      <c r="H12" s="9" t="n">
        <v>0.608635</v>
      </c>
      <c r="I12" s="9" t="n">
        <v>0.852645</v>
      </c>
    </row>
    <row r="13">
      <c r="A13" s="8" t="inlineStr">
        <is>
          <t>C</t>
        </is>
      </c>
      <c r="B13" s="8" t="inlineStr">
        <is>
          <t>Scotland</t>
        </is>
      </c>
      <c r="C13" s="12" t="n">
        <v>1794</v>
      </c>
      <c r="D13" s="7" t="n">
        <v>4.22953</v>
      </c>
      <c r="E13" s="9" t="n">
        <v>0.15124</v>
      </c>
      <c r="F13" s="9" t="n">
        <v>0.31552</v>
      </c>
      <c r="G13" s="9" t="n">
        <v>0.415535</v>
      </c>
      <c r="H13" s="9" t="n">
        <v>0.46676</v>
      </c>
      <c r="I13" s="9" t="n">
        <v>0.772435</v>
      </c>
    </row>
    <row r="14">
      <c r="A14" s="8" t="inlineStr">
        <is>
          <t>C</t>
        </is>
      </c>
      <c r="B14" s="8" t="inlineStr">
        <is>
          <t>Haiti</t>
        </is>
      </c>
      <c r="C14" s="12" t="n">
        <v>1536</v>
      </c>
      <c r="D14" s="7" t="n">
        <v>1.11729</v>
      </c>
      <c r="E14" s="9" t="n">
        <v>0.007145</v>
      </c>
      <c r="F14" s="9" t="n">
        <v>0.040785</v>
      </c>
      <c r="G14" s="9" t="n">
        <v>0.159415</v>
      </c>
      <c r="H14" s="9" t="n">
        <v>0.04793</v>
      </c>
      <c r="I14" s="9" t="n">
        <v>0.125455</v>
      </c>
    </row>
    <row r="15">
      <c r="A15" s="8" t="inlineStr">
        <is>
          <t>D</t>
        </is>
      </c>
      <c r="B15" s="8" t="inlineStr">
        <is>
          <t>Turkey</t>
        </is>
      </c>
      <c r="C15" s="12" t="n">
        <v>1849</v>
      </c>
      <c r="D15" s="7" t="n">
        <v>4.46451</v>
      </c>
      <c r="E15" s="9" t="n">
        <v>0.291065</v>
      </c>
      <c r="F15" s="9" t="n">
        <v>0.26471</v>
      </c>
      <c r="G15" s="9" t="n">
        <v>0.2406</v>
      </c>
      <c r="H15" s="9" t="n">
        <v>0.555775</v>
      </c>
      <c r="I15" s="9" t="n">
        <v>0.7403650000000001</v>
      </c>
    </row>
    <row r="16">
      <c r="A16" s="8" t="inlineStr">
        <is>
          <t>D</t>
        </is>
      </c>
      <c r="B16" s="8" t="inlineStr">
        <is>
          <t>United States</t>
        </is>
      </c>
      <c r="C16" s="12" t="n">
        <v>1780</v>
      </c>
      <c r="D16" s="7" t="n">
        <v>4.41783</v>
      </c>
      <c r="E16" s="9" t="n">
        <v>0.284055</v>
      </c>
      <c r="F16" s="9" t="n">
        <v>0.26254</v>
      </c>
      <c r="G16" s="9" t="n">
        <v>0.24376</v>
      </c>
      <c r="H16" s="9" t="n">
        <v>0.5465950000000001</v>
      </c>
      <c r="I16" s="9" t="n">
        <v>0.73303</v>
      </c>
    </row>
    <row r="17">
      <c r="A17" s="8" t="inlineStr">
        <is>
          <t>D</t>
        </is>
      </c>
      <c r="B17" s="8" t="inlineStr">
        <is>
          <t>Australia</t>
        </is>
      </c>
      <c r="C17" s="12" t="n">
        <v>1839</v>
      </c>
      <c r="D17" s="7" t="n">
        <v>4.31113</v>
      </c>
      <c r="E17" s="9" t="n">
        <v>0.267345</v>
      </c>
      <c r="F17" s="9" t="n">
        <v>0.262915</v>
      </c>
      <c r="G17" s="9" t="n">
        <v>0.24831</v>
      </c>
      <c r="H17" s="9" t="n">
        <v>0.53026</v>
      </c>
      <c r="I17" s="9" t="n">
        <v>0.719375</v>
      </c>
    </row>
    <row r="18">
      <c r="A18" s="8" t="inlineStr">
        <is>
          <t>D</t>
        </is>
      </c>
      <c r="B18" s="8" t="inlineStr">
        <is>
          <t>Paraguay</t>
        </is>
      </c>
      <c r="C18" s="12" t="n">
        <v>1780</v>
      </c>
      <c r="D18" s="7" t="n">
        <v>3.38144</v>
      </c>
      <c r="E18" s="9" t="n">
        <v>0.157535</v>
      </c>
      <c r="F18" s="9" t="n">
        <v>0.209835</v>
      </c>
      <c r="G18" s="9" t="n">
        <v>0.26733</v>
      </c>
      <c r="H18" s="9" t="n">
        <v>0.36737</v>
      </c>
      <c r="I18" s="9" t="n">
        <v>0.55968</v>
      </c>
    </row>
    <row r="19">
      <c r="A19" s="8" t="inlineStr">
        <is>
          <t>E</t>
        </is>
      </c>
      <c r="B19" s="8" t="inlineStr">
        <is>
          <t>Germany</t>
        </is>
      </c>
      <c r="C19" s="12" t="n">
        <v>1939</v>
      </c>
      <c r="D19" s="7" t="n">
        <v>6.495485</v>
      </c>
      <c r="E19" s="9" t="n">
        <v>0.518385</v>
      </c>
      <c r="F19" s="9" t="n">
        <v>0.3327</v>
      </c>
      <c r="G19" s="9" t="n">
        <v>0.139245</v>
      </c>
      <c r="H19" s="9" t="n">
        <v>0.851085</v>
      </c>
      <c r="I19" s="9" t="n">
        <v>0.974005</v>
      </c>
    </row>
    <row r="20">
      <c r="A20" s="8" t="inlineStr">
        <is>
          <t>E</t>
        </is>
      </c>
      <c r="B20" s="8" t="inlineStr">
        <is>
          <t>Ecuador</t>
        </is>
      </c>
      <c r="C20" s="12" t="n">
        <v>1890</v>
      </c>
      <c r="D20" s="7" t="n">
        <v>5.882665</v>
      </c>
      <c r="E20" s="9" t="n">
        <v>0.372465</v>
      </c>
      <c r="F20" s="9" t="n">
        <v>0.40337</v>
      </c>
      <c r="G20" s="9" t="n">
        <v>0.205885</v>
      </c>
      <c r="H20" s="9" t="n">
        <v>0.7758350000000001</v>
      </c>
      <c r="I20" s="9" t="n">
        <v>0.951515</v>
      </c>
    </row>
    <row r="21">
      <c r="A21" s="8" t="inlineStr">
        <is>
          <t>E</t>
        </is>
      </c>
      <c r="B21" s="8" t="inlineStr">
        <is>
          <t>Ivory Coast</t>
        </is>
      </c>
      <c r="C21" s="12" t="n">
        <v>1743</v>
      </c>
      <c r="D21" s="7" t="n">
        <v>3.973335</v>
      </c>
      <c r="E21" s="9" t="n">
        <v>0.107315</v>
      </c>
      <c r="F21" s="9" t="n">
        <v>0.249915</v>
      </c>
      <c r="G21" s="9" t="n">
        <v>0.54959</v>
      </c>
      <c r="H21" s="9" t="n">
        <v>0.35723</v>
      </c>
      <c r="I21" s="9" t="n">
        <v>0.76006</v>
      </c>
    </row>
    <row r="22">
      <c r="A22" s="8" t="inlineStr">
        <is>
          <t>E</t>
        </is>
      </c>
      <c r="B22" s="8" t="inlineStr">
        <is>
          <t>Curacao</t>
        </is>
      </c>
      <c r="C22" s="12" t="n">
        <v>1427</v>
      </c>
      <c r="D22" s="7" t="n">
        <v>0.69356</v>
      </c>
      <c r="E22" s="9" t="n">
        <v>0.001835</v>
      </c>
      <c r="F22" s="9" t="n">
        <v>0.014015</v>
      </c>
      <c r="G22" s="9" t="n">
        <v>0.10528</v>
      </c>
      <c r="H22" s="9" t="n">
        <v>0.01585</v>
      </c>
      <c r="I22" s="9" t="n">
        <v>0.05737</v>
      </c>
    </row>
    <row r="23">
      <c r="A23" s="8" t="inlineStr">
        <is>
          <t>F</t>
        </is>
      </c>
      <c r="B23" s="8" t="inlineStr">
        <is>
          <t>Netherlands</t>
        </is>
      </c>
      <c r="C23" s="12" t="n">
        <v>1944</v>
      </c>
      <c r="D23" s="7" t="n">
        <v>6.18089</v>
      </c>
      <c r="E23" s="9" t="n">
        <v>0.494505</v>
      </c>
      <c r="F23" s="9" t="n">
        <v>0.333115</v>
      </c>
      <c r="G23" s="9" t="n">
        <v>0.141955</v>
      </c>
      <c r="H23" s="9" t="n">
        <v>0.82762</v>
      </c>
      <c r="I23" s="9" t="n">
        <v>0.946725</v>
      </c>
    </row>
    <row r="24">
      <c r="A24" s="8" t="inlineStr">
        <is>
          <t>F</t>
        </is>
      </c>
      <c r="B24" s="8" t="inlineStr">
        <is>
          <t>Japan</t>
        </is>
      </c>
      <c r="C24" s="12" t="n">
        <v>1910</v>
      </c>
      <c r="D24" s="7" t="n">
        <v>5.714225</v>
      </c>
      <c r="E24" s="9" t="n">
        <v>0.3887</v>
      </c>
      <c r="F24" s="9" t="n">
        <v>0.379585</v>
      </c>
      <c r="G24" s="9" t="n">
        <v>0.185115</v>
      </c>
      <c r="H24" s="9" t="n">
        <v>0.768285</v>
      </c>
      <c r="I24" s="9" t="n">
        <v>0.918265</v>
      </c>
    </row>
    <row r="25">
      <c r="A25" s="8" t="inlineStr">
        <is>
          <t>F</t>
        </is>
      </c>
      <c r="B25" s="8" t="inlineStr">
        <is>
          <t>Sweden</t>
        </is>
      </c>
      <c r="C25" s="12" t="n">
        <v>1755</v>
      </c>
      <c r="D25" s="7" t="n">
        <v>3.540975</v>
      </c>
      <c r="E25" s="9" t="n">
        <v>0.103</v>
      </c>
      <c r="F25" s="9" t="n">
        <v>0.228725</v>
      </c>
      <c r="G25" s="9" t="n">
        <v>0.456285</v>
      </c>
      <c r="H25" s="9" t="n">
        <v>0.331725</v>
      </c>
      <c r="I25" s="9" t="n">
        <v>0.6431750000000001</v>
      </c>
    </row>
    <row r="26">
      <c r="A26" s="8" t="inlineStr">
        <is>
          <t>F</t>
        </is>
      </c>
      <c r="B26" s="8" t="inlineStr">
        <is>
          <t>Tunisia</t>
        </is>
      </c>
      <c r="C26" s="12" t="n">
        <v>1585</v>
      </c>
      <c r="D26" s="7" t="n">
        <v>1.43883</v>
      </c>
      <c r="E26" s="9" t="n">
        <v>0.013795</v>
      </c>
      <c r="F26" s="9" t="n">
        <v>0.058575</v>
      </c>
      <c r="G26" s="9" t="n">
        <v>0.216645</v>
      </c>
      <c r="H26" s="9" t="n">
        <v>0.07237</v>
      </c>
      <c r="I26" s="9" t="n">
        <v>0.18531</v>
      </c>
    </row>
    <row r="27">
      <c r="A27" s="8" t="inlineStr">
        <is>
          <t>G</t>
        </is>
      </c>
      <c r="B27" s="8" t="inlineStr">
        <is>
          <t>Belgium</t>
        </is>
      </c>
      <c r="C27" s="12" t="n">
        <v>1879</v>
      </c>
      <c r="D27" s="7" t="n">
        <v>6.327825</v>
      </c>
      <c r="E27" s="9" t="n">
        <v>0.578575</v>
      </c>
      <c r="F27" s="9" t="n">
        <v>0.260155</v>
      </c>
      <c r="G27" s="9" t="n">
        <v>0.12168</v>
      </c>
      <c r="H27" s="9" t="n">
        <v>0.83873</v>
      </c>
      <c r="I27" s="9" t="n">
        <v>0.941075</v>
      </c>
    </row>
    <row r="28">
      <c r="A28" s="8" t="inlineStr">
        <is>
          <t>G</t>
        </is>
      </c>
      <c r="B28" s="8" t="inlineStr">
        <is>
          <t>Iran</t>
        </is>
      </c>
      <c r="C28" s="12" t="n">
        <v>1756</v>
      </c>
      <c r="D28" s="7" t="n">
        <v>4.53308</v>
      </c>
      <c r="E28" s="9" t="n">
        <v>0.23081</v>
      </c>
      <c r="F28" s="9" t="n">
        <v>0.34006</v>
      </c>
      <c r="G28" s="9" t="n">
        <v>0.28182</v>
      </c>
      <c r="H28" s="9" t="n">
        <v>0.57087</v>
      </c>
      <c r="I28" s="9" t="n">
        <v>0.779855</v>
      </c>
    </row>
    <row r="29">
      <c r="A29" s="8" t="inlineStr">
        <is>
          <t>G</t>
        </is>
      </c>
      <c r="B29" s="8" t="inlineStr">
        <is>
          <t>Egypt</t>
        </is>
      </c>
      <c r="C29" s="12" t="n">
        <v>1711</v>
      </c>
      <c r="D29" s="7" t="n">
        <v>3.869375</v>
      </c>
      <c r="E29" s="9" t="n">
        <v>0.1532</v>
      </c>
      <c r="F29" s="9" t="n">
        <v>0.285445</v>
      </c>
      <c r="G29" s="9" t="n">
        <v>0.343235</v>
      </c>
      <c r="H29" s="9" t="n">
        <v>0.438645</v>
      </c>
      <c r="I29" s="9" t="n">
        <v>0.68174</v>
      </c>
    </row>
    <row r="30">
      <c r="A30" s="8" t="inlineStr">
        <is>
          <t>G</t>
        </is>
      </c>
      <c r="B30" s="8" t="inlineStr">
        <is>
          <t>New Zealand</t>
        </is>
      </c>
      <c r="C30" s="12" t="n">
        <v>1578</v>
      </c>
      <c r="D30" s="7" t="n">
        <v>2.032755</v>
      </c>
      <c r="E30" s="9" t="n">
        <v>0.037415</v>
      </c>
      <c r="F30" s="9" t="n">
        <v>0.11434</v>
      </c>
      <c r="G30" s="9" t="n">
        <v>0.253265</v>
      </c>
      <c r="H30" s="9" t="n">
        <v>0.151755</v>
      </c>
      <c r="I30" s="9" t="n">
        <v>0.30255</v>
      </c>
    </row>
    <row r="31">
      <c r="A31" s="8" t="inlineStr">
        <is>
          <t>H</t>
        </is>
      </c>
      <c r="B31" s="8" t="inlineStr">
        <is>
          <t>Spain</t>
        </is>
      </c>
      <c r="C31" s="12" t="n">
        <v>2129</v>
      </c>
      <c r="D31" s="7" t="n">
        <v>7.928795</v>
      </c>
      <c r="E31" s="9" t="n">
        <v>0.835645</v>
      </c>
      <c r="F31" s="9" t="n">
        <v>0.14952</v>
      </c>
      <c r="G31" s="9" t="n">
        <v>0.013445</v>
      </c>
      <c r="H31" s="9" t="n">
        <v>0.985165</v>
      </c>
      <c r="I31" s="9" t="n">
        <v>0.997275</v>
      </c>
    </row>
    <row r="32">
      <c r="A32" s="8" t="inlineStr">
        <is>
          <t>H</t>
        </is>
      </c>
      <c r="B32" s="8" t="inlineStr">
        <is>
          <t>Uruguay</t>
        </is>
      </c>
      <c r="C32" s="12" t="n">
        <v>1870</v>
      </c>
      <c r="D32" s="7" t="n">
        <v>5.19804</v>
      </c>
      <c r="E32" s="9" t="n">
        <v>0.14928</v>
      </c>
      <c r="F32" s="9" t="n">
        <v>0.639065</v>
      </c>
      <c r="G32" s="9" t="n">
        <v>0.164615</v>
      </c>
      <c r="H32" s="9" t="n">
        <v>0.788345</v>
      </c>
      <c r="I32" s="9" t="n">
        <v>0.90239</v>
      </c>
    </row>
    <row r="33">
      <c r="A33" s="8" t="inlineStr">
        <is>
          <t>H</t>
        </is>
      </c>
      <c r="B33" s="8" t="inlineStr">
        <is>
          <t>Cape Verde</t>
        </is>
      </c>
      <c r="C33" s="12" t="n">
        <v>1606</v>
      </c>
      <c r="D33" s="7" t="n">
        <v>2.031315</v>
      </c>
      <c r="E33" s="9" t="n">
        <v>0.007945000000000001</v>
      </c>
      <c r="F33" s="9" t="n">
        <v>0.1098</v>
      </c>
      <c r="G33" s="9" t="n">
        <v>0.416415</v>
      </c>
      <c r="H33" s="9" t="n">
        <v>0.117745</v>
      </c>
      <c r="I33" s="9" t="n">
        <v>0.30553</v>
      </c>
    </row>
    <row r="34">
      <c r="A34" s="8" t="inlineStr">
        <is>
          <t>H</t>
        </is>
      </c>
      <c r="B34" s="8" t="inlineStr">
        <is>
          <t>Saudi Arabia</t>
        </is>
      </c>
      <c r="C34" s="12" t="n">
        <v>1598</v>
      </c>
      <c r="D34" s="7" t="n">
        <v>1.955715</v>
      </c>
      <c r="E34" s="9" t="n">
        <v>0.00713</v>
      </c>
      <c r="F34" s="9" t="n">
        <v>0.101615</v>
      </c>
      <c r="G34" s="9" t="n">
        <v>0.405525</v>
      </c>
      <c r="H34" s="9" t="n">
        <v>0.108745</v>
      </c>
      <c r="I34" s="9" t="n">
        <v>0.287735</v>
      </c>
    </row>
    <row r="35">
      <c r="A35" s="8" t="inlineStr">
        <is>
          <t>I</t>
        </is>
      </c>
      <c r="B35" s="8" t="inlineStr">
        <is>
          <t>France</t>
        </is>
      </c>
      <c r="C35" s="12" t="n">
        <v>2084</v>
      </c>
      <c r="D35" s="7" t="n">
        <v>7.02993</v>
      </c>
      <c r="E35" s="9" t="n">
        <v>0.66962</v>
      </c>
      <c r="F35" s="9" t="n">
        <v>0.24188</v>
      </c>
      <c r="G35" s="9" t="n">
        <v>0.08011500000000001</v>
      </c>
      <c r="H35" s="9" t="n">
        <v>0.9115</v>
      </c>
      <c r="I35" s="9" t="n">
        <v>0.982935</v>
      </c>
    </row>
    <row r="36">
      <c r="A36" s="8" t="inlineStr">
        <is>
          <t>I</t>
        </is>
      </c>
      <c r="B36" s="8" t="inlineStr">
        <is>
          <t>Norway</t>
        </is>
      </c>
      <c r="C36" s="12" t="n">
        <v>1929</v>
      </c>
      <c r="D36" s="7" t="n">
        <v>5.059005</v>
      </c>
      <c r="E36" s="9" t="n">
        <v>0.226115</v>
      </c>
      <c r="F36" s="9" t="n">
        <v>0.43464</v>
      </c>
      <c r="G36" s="9" t="n">
        <v>0.28316</v>
      </c>
      <c r="H36" s="9" t="n">
        <v>0.660755</v>
      </c>
      <c r="I36" s="9" t="n">
        <v>0.88081</v>
      </c>
    </row>
    <row r="37">
      <c r="A37" s="8" t="inlineStr">
        <is>
          <t>I</t>
        </is>
      </c>
      <c r="B37" s="8" t="inlineStr">
        <is>
          <t>Senegal</t>
        </is>
      </c>
      <c r="C37" s="12" t="n">
        <v>1839</v>
      </c>
      <c r="D37" s="7" t="n">
        <v>3.86258</v>
      </c>
      <c r="E37" s="9" t="n">
        <v>0.09966999999999999</v>
      </c>
      <c r="F37" s="9" t="n">
        <v>0.288135</v>
      </c>
      <c r="G37" s="9" t="n">
        <v>0.475255</v>
      </c>
      <c r="H37" s="9" t="n">
        <v>0.387805</v>
      </c>
      <c r="I37" s="9" t="n">
        <v>0.721375</v>
      </c>
    </row>
    <row r="38">
      <c r="A38" s="8" t="inlineStr">
        <is>
          <t>I</t>
        </is>
      </c>
      <c r="B38" s="8" t="inlineStr">
        <is>
          <t>Iraq</t>
        </is>
      </c>
      <c r="C38" s="12" t="n">
        <v>1592</v>
      </c>
      <c r="D38" s="7" t="n">
        <v>1.038435</v>
      </c>
      <c r="E38" s="9" t="n">
        <v>0.004595</v>
      </c>
      <c r="F38" s="9" t="n">
        <v>0.035345</v>
      </c>
      <c r="G38" s="9" t="n">
        <v>0.16147</v>
      </c>
      <c r="H38" s="9" t="n">
        <v>0.03994</v>
      </c>
      <c r="I38" s="9" t="n">
        <v>0.11188</v>
      </c>
    </row>
    <row r="39">
      <c r="A39" s="8" t="inlineStr">
        <is>
          <t>J</t>
        </is>
      </c>
      <c r="B39" s="8" t="inlineStr">
        <is>
          <t>Argentina</t>
        </is>
      </c>
      <c r="C39" s="12" t="n">
        <v>2128</v>
      </c>
      <c r="D39" s="7" t="n">
        <v>7.686295</v>
      </c>
      <c r="E39" s="9" t="n">
        <v>0.82538</v>
      </c>
      <c r="F39" s="9" t="n">
        <v>0.14195</v>
      </c>
      <c r="G39" s="9" t="n">
        <v>0.02823</v>
      </c>
      <c r="H39" s="9" t="n">
        <v>0.96733</v>
      </c>
      <c r="I39" s="9" t="n">
        <v>0.992765</v>
      </c>
    </row>
    <row r="40">
      <c r="A40" s="8" t="inlineStr">
        <is>
          <t>J</t>
        </is>
      </c>
      <c r="B40" s="8" t="inlineStr">
        <is>
          <t>Austria</t>
        </is>
      </c>
      <c r="C40" s="12" t="n">
        <v>1857</v>
      </c>
      <c r="D40" s="7" t="n">
        <v>4.407965</v>
      </c>
      <c r="E40" s="9" t="n">
        <v>0.119035</v>
      </c>
      <c r="F40" s="9" t="n">
        <v>0.48218</v>
      </c>
      <c r="G40" s="9" t="n">
        <v>0.280425</v>
      </c>
      <c r="H40" s="9" t="n">
        <v>0.6012150000000001</v>
      </c>
      <c r="I40" s="9" t="n">
        <v>0.7901550000000001</v>
      </c>
    </row>
    <row r="41">
      <c r="A41" s="8" t="inlineStr">
        <is>
          <t>J</t>
        </is>
      </c>
      <c r="B41" s="8" t="inlineStr">
        <is>
          <t>Algeria</t>
        </is>
      </c>
      <c r="C41" s="12" t="n">
        <v>1759</v>
      </c>
      <c r="D41" s="7" t="n">
        <v>3.105195</v>
      </c>
      <c r="E41" s="9" t="n">
        <v>0.044</v>
      </c>
      <c r="F41" s="9" t="n">
        <v>0.26397</v>
      </c>
      <c r="G41" s="9" t="n">
        <v>0.41296</v>
      </c>
      <c r="H41" s="9" t="n">
        <v>0.30797</v>
      </c>
      <c r="I41" s="9" t="n">
        <v>0.55204</v>
      </c>
    </row>
    <row r="42">
      <c r="A42" s="8" t="inlineStr">
        <is>
          <t>J</t>
        </is>
      </c>
      <c r="B42" s="8" t="inlineStr">
        <is>
          <t>Jordan</t>
        </is>
      </c>
      <c r="C42" s="12" t="n">
        <v>1653</v>
      </c>
      <c r="D42" s="7" t="n">
        <v>1.78241</v>
      </c>
      <c r="E42" s="9" t="n">
        <v>0.011585</v>
      </c>
      <c r="F42" s="9" t="n">
        <v>0.1119</v>
      </c>
      <c r="G42" s="9" t="n">
        <v>0.278385</v>
      </c>
      <c r="H42" s="9" t="n">
        <v>0.123485</v>
      </c>
      <c r="I42" s="9" t="n">
        <v>0.25701</v>
      </c>
    </row>
    <row r="43">
      <c r="A43" s="8" t="inlineStr">
        <is>
          <t>K</t>
        </is>
      </c>
      <c r="B43" s="8" t="inlineStr">
        <is>
          <t>Portugal</t>
        </is>
      </c>
      <c r="C43" s="12" t="n">
        <v>1989</v>
      </c>
      <c r="D43" s="7" t="n">
        <v>6.28455</v>
      </c>
      <c r="E43" s="9" t="n">
        <v>0.48134</v>
      </c>
      <c r="F43" s="9" t="n">
        <v>0.384085</v>
      </c>
      <c r="G43" s="9" t="n">
        <v>0.107785</v>
      </c>
      <c r="H43" s="9" t="n">
        <v>0.865425</v>
      </c>
      <c r="I43" s="9" t="n">
        <v>0.953915</v>
      </c>
    </row>
    <row r="44">
      <c r="A44" s="8" t="inlineStr">
        <is>
          <t>K</t>
        </is>
      </c>
      <c r="B44" s="8" t="inlineStr">
        <is>
          <t>Colombia</t>
        </is>
      </c>
      <c r="C44" s="12" t="n">
        <v>1982</v>
      </c>
      <c r="D44" s="7" t="n">
        <v>6.19913</v>
      </c>
      <c r="E44" s="9" t="n">
        <v>0.459785</v>
      </c>
      <c r="F44" s="9" t="n">
        <v>0.396605</v>
      </c>
      <c r="G44" s="9" t="n">
        <v>0.115225</v>
      </c>
      <c r="H44" s="9" t="n">
        <v>0.85639</v>
      </c>
      <c r="I44" s="9" t="n">
        <v>0.950595</v>
      </c>
    </row>
    <row r="45">
      <c r="A45" s="8" t="inlineStr">
        <is>
          <t>K</t>
        </is>
      </c>
      <c r="B45" s="8" t="inlineStr">
        <is>
          <t>Uzbekistan</t>
        </is>
      </c>
      <c r="C45" s="12" t="n">
        <v>1714</v>
      </c>
      <c r="D45" s="7" t="n">
        <v>2.596365</v>
      </c>
      <c r="E45" s="9" t="n">
        <v>0.040485</v>
      </c>
      <c r="F45" s="9" t="n">
        <v>0.13883</v>
      </c>
      <c r="G45" s="9" t="n">
        <v>0.447825</v>
      </c>
      <c r="H45" s="9" t="n">
        <v>0.179315</v>
      </c>
      <c r="I45" s="9" t="n">
        <v>0.440305</v>
      </c>
    </row>
    <row r="46">
      <c r="A46" s="8" t="inlineStr">
        <is>
          <t>K</t>
        </is>
      </c>
      <c r="B46" s="8" t="inlineStr">
        <is>
          <t>DR Congo</t>
        </is>
      </c>
      <c r="C46" s="12" t="n">
        <v>1652</v>
      </c>
      <c r="D46" s="7" t="n">
        <v>1.838355</v>
      </c>
      <c r="E46" s="9" t="n">
        <v>0.01839</v>
      </c>
      <c r="F46" s="9" t="n">
        <v>0.08048</v>
      </c>
      <c r="G46" s="9" t="n">
        <v>0.329165</v>
      </c>
      <c r="H46" s="9" t="n">
        <v>0.09887</v>
      </c>
      <c r="I46" s="9" t="n">
        <v>0.268765</v>
      </c>
    </row>
    <row r="47">
      <c r="A47" s="8" t="inlineStr">
        <is>
          <t>L</t>
        </is>
      </c>
      <c r="B47" s="8" t="inlineStr">
        <is>
          <t>England</t>
        </is>
      </c>
      <c r="C47" s="12" t="n">
        <v>2024</v>
      </c>
      <c r="D47" s="7" t="n">
        <v>7.03482</v>
      </c>
      <c r="E47" s="9" t="n">
        <v>0.639645</v>
      </c>
      <c r="F47" s="9" t="n">
        <v>0.283505</v>
      </c>
      <c r="G47" s="9" t="n">
        <v>0.07048</v>
      </c>
      <c r="H47" s="9" t="n">
        <v>0.92315</v>
      </c>
      <c r="I47" s="9" t="n">
        <v>0.98544</v>
      </c>
    </row>
    <row r="48">
      <c r="A48" s="8" t="inlineStr">
        <is>
          <t>L</t>
        </is>
      </c>
      <c r="B48" s="8" t="inlineStr">
        <is>
          <t>Croatia</t>
        </is>
      </c>
      <c r="C48" s="12" t="n">
        <v>1912</v>
      </c>
      <c r="D48" s="7" t="n">
        <v>5.668965</v>
      </c>
      <c r="E48" s="9" t="n">
        <v>0.30011</v>
      </c>
      <c r="F48" s="9" t="n">
        <v>0.48335</v>
      </c>
      <c r="G48" s="9" t="n">
        <v>0.188665</v>
      </c>
      <c r="H48" s="9" t="n">
        <v>0.78346</v>
      </c>
      <c r="I48" s="9" t="n">
        <v>0.9365599999999999</v>
      </c>
    </row>
    <row r="49">
      <c r="A49" s="8" t="inlineStr">
        <is>
          <t>L</t>
        </is>
      </c>
      <c r="B49" s="8" t="inlineStr">
        <is>
          <t>Panama</t>
        </is>
      </c>
      <c r="C49" s="12" t="n">
        <v>1730</v>
      </c>
      <c r="D49" s="7" t="n">
        <v>3.35991</v>
      </c>
      <c r="E49" s="9" t="n">
        <v>0.05723</v>
      </c>
      <c r="F49" s="9" t="n">
        <v>0.205795</v>
      </c>
      <c r="G49" s="9" t="n">
        <v>0.56279</v>
      </c>
      <c r="H49" s="9" t="n">
        <v>0.263025</v>
      </c>
      <c r="I49" s="9" t="n">
        <v>0.630555</v>
      </c>
    </row>
    <row r="50">
      <c r="A50" s="8" t="inlineStr">
        <is>
          <t>L</t>
        </is>
      </c>
      <c r="B50" s="8" t="inlineStr">
        <is>
          <t>Ghana</t>
        </is>
      </c>
      <c r="C50" s="12" t="n">
        <v>1510</v>
      </c>
      <c r="D50" s="7" t="n">
        <v>0.98515</v>
      </c>
      <c r="E50" s="9" t="n">
        <v>0.003015</v>
      </c>
      <c r="F50" s="9" t="n">
        <v>0.02735</v>
      </c>
      <c r="G50" s="9" t="n">
        <v>0.178065</v>
      </c>
      <c r="H50" s="9" t="n">
        <v>0.030365</v>
      </c>
      <c r="I50" s="9" t="n">
        <v>0.101745</v>
      </c>
    </row>
  </sheetData>
  <mergeCells count="1">
    <mergeCell ref="A1:I1"/>
  </mergeCells>
  <conditionalFormatting sqref="E3:E50">
    <cfRule type="colorScale" priority="1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H3:H50">
    <cfRule type="colorScale" priority="2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I3:I50">
    <cfRule type="colorScale" priority="3">
      <colorScale>
        <cfvo type="min"/>
        <cfvo type="percentile" val="55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6" customWidth="1" min="3" max="3"/>
  </cols>
  <sheetData>
    <row r="1" ht="22" customHeight="1">
      <c r="A1" s="10" t="inlineStr">
        <is>
          <t>TECHNICAL APPENDIX A — exact per-team Poisson-binomial win distribution &amp; points distribution</t>
        </is>
      </c>
    </row>
    <row r="2">
      <c r="A2" s="6" t="inlineStr">
        <is>
          <t>Grp</t>
        </is>
      </c>
      <c r="B2" s="6" t="inlineStr">
        <is>
          <t>Team</t>
        </is>
      </c>
      <c r="C2" s="6" t="inlineStr">
        <is>
          <t>Elo</t>
        </is>
      </c>
      <c r="D2" s="6" t="inlineStr">
        <is>
          <t>Win m1</t>
        </is>
      </c>
      <c r="E2" s="6" t="inlineStr">
        <is>
          <t>Win m2</t>
        </is>
      </c>
      <c r="F2" s="6" t="inlineStr">
        <is>
          <t>Win m3</t>
        </is>
      </c>
      <c r="G2" s="6" t="inlineStr">
        <is>
          <t>Draw avg</t>
        </is>
      </c>
      <c r="H2" s="6" t="inlineStr">
        <is>
          <t>Loss avg</t>
        </is>
      </c>
      <c r="I2" s="6" t="inlineStr">
        <is>
          <t>E[Pts]</t>
        </is>
      </c>
      <c r="J2" s="6" t="inlineStr">
        <is>
          <t>P(0W)</t>
        </is>
      </c>
      <c r="K2" s="6" t="inlineStr">
        <is>
          <t>P(1W)</t>
        </is>
      </c>
      <c r="L2" s="6" t="inlineStr">
        <is>
          <t>P(2W)</t>
        </is>
      </c>
      <c r="M2" s="6" t="inlineStr">
        <is>
          <t>P(3W)</t>
        </is>
      </c>
      <c r="N2" s="6" t="inlineStr">
        <is>
          <t>P(pts=0)</t>
        </is>
      </c>
      <c r="O2" s="6" t="inlineStr">
        <is>
          <t>P(pts=1)</t>
        </is>
      </c>
      <c r="P2" s="6" t="inlineStr">
        <is>
          <t>P(pts=2)</t>
        </is>
      </c>
      <c r="Q2" s="6" t="inlineStr">
        <is>
          <t>P(pts=3)</t>
        </is>
      </c>
      <c r="R2" s="6" t="inlineStr">
        <is>
          <t>P(pts=4)</t>
        </is>
      </c>
      <c r="S2" s="6" t="inlineStr">
        <is>
          <t>P(pts=5)</t>
        </is>
      </c>
      <c r="T2" s="6" t="inlineStr">
        <is>
          <t>P(pts=6)</t>
        </is>
      </c>
      <c r="U2" s="6" t="inlineStr">
        <is>
          <t>P(pts=7)</t>
        </is>
      </c>
      <c r="V2" s="6" t="inlineStr">
        <is>
          <t>P(pts=8)</t>
        </is>
      </c>
      <c r="W2" s="6" t="inlineStr">
        <is>
          <t>P(pts=9)</t>
        </is>
      </c>
    </row>
    <row r="3">
      <c r="A3" s="8" t="inlineStr">
        <is>
          <t>A</t>
        </is>
      </c>
      <c r="B3" s="8" t="inlineStr">
        <is>
          <t>Mexico</t>
        </is>
      </c>
      <c r="C3" s="12" t="n">
        <v>1881</v>
      </c>
      <c r="D3" s="9" t="n">
        <v>0.8772</v>
      </c>
      <c r="E3" s="9" t="n">
        <v>0.6076</v>
      </c>
      <c r="F3" s="9" t="n">
        <v>0.7029</v>
      </c>
      <c r="G3" s="9" t="n">
        <v>0.1637</v>
      </c>
      <c r="H3" s="9" t="n">
        <v>0.107</v>
      </c>
      <c r="I3" s="7" t="n">
        <v>7.0544</v>
      </c>
      <c r="J3" s="9" t="n">
        <v>0.0143</v>
      </c>
      <c r="K3" s="9" t="n">
        <v>0.1583</v>
      </c>
      <c r="L3" s="9" t="n">
        <v>0.4527</v>
      </c>
      <c r="M3" s="9" t="n">
        <v>0.3746</v>
      </c>
      <c r="N3" s="9" t="n">
        <v>0.0005999999999999999</v>
      </c>
      <c r="O3" s="9" t="n">
        <v>0.0036</v>
      </c>
      <c r="P3" s="9" t="n">
        <v>0.0065</v>
      </c>
      <c r="Q3" s="9" t="n">
        <v>0.0272</v>
      </c>
      <c r="R3" s="9" t="n">
        <v>0.07580000000000001</v>
      </c>
      <c r="S3" s="9" t="n">
        <v>0.059</v>
      </c>
      <c r="T3" s="9" t="n">
        <v>0.1829</v>
      </c>
      <c r="U3" s="9" t="n">
        <v>0.2698</v>
      </c>
      <c r="V3" s="9" t="n">
        <v>0</v>
      </c>
      <c r="W3" s="9" t="n">
        <v>0.3746</v>
      </c>
    </row>
    <row r="4">
      <c r="A4" s="8" t="inlineStr">
        <is>
          <t>A</t>
        </is>
      </c>
      <c r="B4" s="8" t="inlineStr">
        <is>
          <t>South Africa</t>
        </is>
      </c>
      <c r="C4" s="12" t="n">
        <v>1511</v>
      </c>
      <c r="D4" s="9" t="n">
        <v>0.0283</v>
      </c>
      <c r="E4" s="9" t="n">
        <v>0.08939999999999999</v>
      </c>
      <c r="F4" s="9" t="n">
        <v>0.1407</v>
      </c>
      <c r="G4" s="9" t="n">
        <v>0.1512</v>
      </c>
      <c r="H4" s="9" t="n">
        <v>0.7627</v>
      </c>
      <c r="I4" s="7" t="n">
        <v>1.2287</v>
      </c>
      <c r="J4" s="9" t="n">
        <v>0.7603</v>
      </c>
      <c r="K4" s="9" t="n">
        <v>0.2213</v>
      </c>
      <c r="L4" s="9" t="n">
        <v>0.018</v>
      </c>
      <c r="M4" s="9" t="n">
        <v>0.0004</v>
      </c>
      <c r="N4" s="9" t="n">
        <v>0.4349</v>
      </c>
      <c r="O4" s="9" t="n">
        <v>0.2703</v>
      </c>
      <c r="P4" s="9" t="n">
        <v>0.0521</v>
      </c>
      <c r="Q4" s="9" t="n">
        <v>0.1614</v>
      </c>
      <c r="R4" s="9" t="n">
        <v>0.0582</v>
      </c>
      <c r="S4" s="9" t="n">
        <v>0.0047</v>
      </c>
      <c r="T4" s="9" t="n">
        <v>0.0157</v>
      </c>
      <c r="U4" s="9" t="n">
        <v>0.0023</v>
      </c>
      <c r="V4" s="9" t="n">
        <v>0</v>
      </c>
      <c r="W4" s="9" t="n">
        <v>0.0004</v>
      </c>
    </row>
    <row r="5">
      <c r="A5" s="8" t="inlineStr">
        <is>
          <t>A</t>
        </is>
      </c>
      <c r="B5" s="8" t="inlineStr">
        <is>
          <t>South Korea</t>
        </is>
      </c>
      <c r="C5" s="12" t="n">
        <v>1786</v>
      </c>
      <c r="D5" s="9" t="n">
        <v>0.1771</v>
      </c>
      <c r="E5" s="9" t="n">
        <v>0.7486</v>
      </c>
      <c r="F5" s="9" t="n">
        <v>0.4821</v>
      </c>
      <c r="G5" s="9" t="n">
        <v>0.2076</v>
      </c>
      <c r="H5" s="9" t="n">
        <v>0.3231</v>
      </c>
      <c r="I5" s="7" t="n">
        <v>4.8464</v>
      </c>
      <c r="J5" s="9" t="n">
        <v>0.1071</v>
      </c>
      <c r="K5" s="9" t="n">
        <v>0.4418</v>
      </c>
      <c r="L5" s="9" t="n">
        <v>0.3871</v>
      </c>
      <c r="M5" s="9" t="n">
        <v>0.0639</v>
      </c>
      <c r="N5" s="9" t="n">
        <v>0.0148</v>
      </c>
      <c r="O5" s="9" t="n">
        <v>0.0454</v>
      </c>
      <c r="P5" s="9" t="n">
        <v>0.0384</v>
      </c>
      <c r="Q5" s="9" t="n">
        <v>0.1629</v>
      </c>
      <c r="R5" s="9" t="n">
        <v>0.224</v>
      </c>
      <c r="S5" s="9" t="n">
        <v>0.0634</v>
      </c>
      <c r="T5" s="9" t="n">
        <v>0.263</v>
      </c>
      <c r="U5" s="9" t="n">
        <v>0.1241</v>
      </c>
      <c r="V5" s="9" t="n">
        <v>0</v>
      </c>
      <c r="W5" s="9" t="n">
        <v>0.0639</v>
      </c>
    </row>
    <row r="6">
      <c r="A6" s="8" t="inlineStr">
        <is>
          <t>A</t>
        </is>
      </c>
      <c r="B6" s="8" t="inlineStr">
        <is>
          <t>Czech Republic</t>
        </is>
      </c>
      <c r="C6" s="12" t="n">
        <v>1712</v>
      </c>
      <c r="D6" s="9" t="n">
        <v>0.1156</v>
      </c>
      <c r="E6" s="9" t="n">
        <v>0.6623</v>
      </c>
      <c r="F6" s="9" t="n">
        <v>0.2723</v>
      </c>
      <c r="G6" s="9" t="n">
        <v>0.2081</v>
      </c>
      <c r="H6" s="9" t="n">
        <v>0.4419</v>
      </c>
      <c r="I6" s="7" t="n">
        <v>3.7746</v>
      </c>
      <c r="J6" s="9" t="n">
        <v>0.2173</v>
      </c>
      <c r="K6" s="9" t="n">
        <v>0.536</v>
      </c>
      <c r="L6" s="9" t="n">
        <v>0.2258</v>
      </c>
      <c r="M6" s="9" t="n">
        <v>0.0208</v>
      </c>
      <c r="N6" s="9" t="n">
        <v>0.0477</v>
      </c>
      <c r="O6" s="9" t="n">
        <v>0.1034</v>
      </c>
      <c r="P6" s="9" t="n">
        <v>0.0575</v>
      </c>
      <c r="Q6" s="9" t="n">
        <v>0.268</v>
      </c>
      <c r="R6" s="9" t="n">
        <v>0.2319</v>
      </c>
      <c r="S6" s="9" t="n">
        <v>0.0449</v>
      </c>
      <c r="T6" s="9" t="n">
        <v>0.1681</v>
      </c>
      <c r="U6" s="9" t="n">
        <v>0.0577</v>
      </c>
      <c r="V6" s="9" t="n">
        <v>0</v>
      </c>
      <c r="W6" s="9" t="n">
        <v>0.0208</v>
      </c>
    </row>
    <row r="7">
      <c r="A7" s="8" t="inlineStr">
        <is>
          <t>B</t>
        </is>
      </c>
      <c r="B7" s="8" t="inlineStr">
        <is>
          <t>Canada</t>
        </is>
      </c>
      <c r="C7" s="12" t="n">
        <v>1767</v>
      </c>
      <c r="D7" s="9" t="n">
        <v>0.6811</v>
      </c>
      <c r="E7" s="9" t="n">
        <v>0.845</v>
      </c>
      <c r="F7" s="9" t="n">
        <v>0.3254</v>
      </c>
      <c r="G7" s="9" t="n">
        <v>0.1859</v>
      </c>
      <c r="H7" s="9" t="n">
        <v>0.1969</v>
      </c>
      <c r="I7" s="7" t="n">
        <v>6.1126</v>
      </c>
      <c r="J7" s="9" t="n">
        <v>0.0333</v>
      </c>
      <c r="K7" s="9" t="n">
        <v>0.269</v>
      </c>
      <c r="L7" s="9" t="n">
        <v>0.5103</v>
      </c>
      <c r="M7" s="9" t="n">
        <v>0.1873</v>
      </c>
      <c r="N7" s="9" t="n">
        <v>0.0023</v>
      </c>
      <c r="O7" s="9" t="n">
        <v>0.0108</v>
      </c>
      <c r="P7" s="9" t="n">
        <v>0.0148</v>
      </c>
      <c r="Q7" s="9" t="n">
        <v>0.0649</v>
      </c>
      <c r="R7" s="9" t="n">
        <v>0.1421</v>
      </c>
      <c r="S7" s="9" t="n">
        <v>0.0675</v>
      </c>
      <c r="T7" s="9" t="n">
        <v>0.2865</v>
      </c>
      <c r="U7" s="9" t="n">
        <v>0.2238</v>
      </c>
      <c r="V7" s="9" t="n">
        <v>0</v>
      </c>
      <c r="W7" s="9" t="n">
        <v>0.1873</v>
      </c>
    </row>
    <row r="8">
      <c r="A8" s="8" t="inlineStr">
        <is>
          <t>B</t>
        </is>
      </c>
      <c r="B8" s="8" t="inlineStr">
        <is>
          <t>Bosnia and Herzegovina</t>
        </is>
      </c>
      <c r="C8" s="12" t="n">
        <v>1616</v>
      </c>
      <c r="D8" s="9" t="n">
        <v>0.1288</v>
      </c>
      <c r="E8" s="9" t="n">
        <v>0.62</v>
      </c>
      <c r="F8" s="9" t="n">
        <v>0.1054</v>
      </c>
      <c r="G8" s="9" t="n">
        <v>0.1919</v>
      </c>
      <c r="H8" s="9" t="n">
        <v>0.5233</v>
      </c>
      <c r="I8" s="7" t="n">
        <v>3.1384</v>
      </c>
      <c r="J8" s="9" t="n">
        <v>0.2962</v>
      </c>
      <c r="K8" s="9" t="n">
        <v>0.5619</v>
      </c>
      <c r="L8" s="9" t="n">
        <v>0.1335</v>
      </c>
      <c r="M8" s="9" t="n">
        <v>0.008399999999999999</v>
      </c>
      <c r="N8" s="9" t="n">
        <v>0.0827</v>
      </c>
      <c r="O8" s="9" t="n">
        <v>0.1468</v>
      </c>
      <c r="P8" s="9" t="n">
        <v>0.0596</v>
      </c>
      <c r="Q8" s="9" t="n">
        <v>0.3389</v>
      </c>
      <c r="R8" s="9" t="n">
        <v>0.2004</v>
      </c>
      <c r="S8" s="9" t="n">
        <v>0.0295</v>
      </c>
      <c r="T8" s="9" t="n">
        <v>0.1043</v>
      </c>
      <c r="U8" s="9" t="n">
        <v>0.0292</v>
      </c>
      <c r="V8" s="9" t="n">
        <v>0</v>
      </c>
      <c r="W8" s="9" t="n">
        <v>0.008399999999999999</v>
      </c>
    </row>
    <row r="9">
      <c r="A9" s="8" t="inlineStr">
        <is>
          <t>B</t>
        </is>
      </c>
      <c r="B9" s="8" t="inlineStr">
        <is>
          <t>Qatar</t>
        </is>
      </c>
      <c r="C9" s="12" t="n">
        <v>1447</v>
      </c>
      <c r="D9" s="9" t="n">
        <v>0.0416</v>
      </c>
      <c r="E9" s="9" t="n">
        <v>0.1686</v>
      </c>
      <c r="F9" s="9" t="n">
        <v>0.0324</v>
      </c>
      <c r="G9" s="9" t="n">
        <v>0.1418</v>
      </c>
      <c r="H9" s="9" t="n">
        <v>0.7773</v>
      </c>
      <c r="I9" s="7" t="n">
        <v>1.1533</v>
      </c>
      <c r="J9" s="9" t="n">
        <v>0.7709</v>
      </c>
      <c r="K9" s="9" t="n">
        <v>0.2157</v>
      </c>
      <c r="L9" s="9" t="n">
        <v>0.0132</v>
      </c>
      <c r="M9" s="9" t="n">
        <v>0.0002</v>
      </c>
      <c r="N9" s="9" t="n">
        <v>0.4542</v>
      </c>
      <c r="O9" s="9" t="n">
        <v>0.2685</v>
      </c>
      <c r="P9" s="9" t="n">
        <v>0.0458</v>
      </c>
      <c r="Q9" s="9" t="n">
        <v>0.1653</v>
      </c>
      <c r="R9" s="9" t="n">
        <v>0.0492</v>
      </c>
      <c r="S9" s="9" t="n">
        <v>0.0036</v>
      </c>
      <c r="T9" s="9" t="n">
        <v>0.0115</v>
      </c>
      <c r="U9" s="9" t="n">
        <v>0.0016</v>
      </c>
      <c r="V9" s="9" t="n">
        <v>0</v>
      </c>
      <c r="W9" s="9" t="n">
        <v>0.0002</v>
      </c>
    </row>
    <row r="10">
      <c r="A10" s="8" t="inlineStr">
        <is>
          <t>B</t>
        </is>
      </c>
      <c r="B10" s="8" t="inlineStr">
        <is>
          <t>Switzerland</t>
        </is>
      </c>
      <c r="C10" s="12" t="n">
        <v>1865</v>
      </c>
      <c r="D10" s="9" t="n">
        <v>0.4201</v>
      </c>
      <c r="E10" s="9" t="n">
        <v>0.7202</v>
      </c>
      <c r="F10" s="9" t="n">
        <v>0.867</v>
      </c>
      <c r="G10" s="9" t="n">
        <v>0.1765</v>
      </c>
      <c r="H10" s="9" t="n">
        <v>0.1544</v>
      </c>
      <c r="I10" s="7" t="n">
        <v>6.5515</v>
      </c>
      <c r="J10" s="9" t="n">
        <v>0.0216</v>
      </c>
      <c r="K10" s="9" t="n">
        <v>0.2118</v>
      </c>
      <c r="L10" s="9" t="n">
        <v>0.5042</v>
      </c>
      <c r="M10" s="9" t="n">
        <v>0.2624</v>
      </c>
      <c r="N10" s="9" t="n">
        <v>0.0011</v>
      </c>
      <c r="O10" s="9" t="n">
        <v>0.0062</v>
      </c>
      <c r="P10" s="9" t="n">
        <v>0.0098</v>
      </c>
      <c r="Q10" s="9" t="n">
        <v>0.0432</v>
      </c>
      <c r="R10" s="9" t="n">
        <v>0.1088</v>
      </c>
      <c r="S10" s="9" t="n">
        <v>0.0643</v>
      </c>
      <c r="T10" s="9" t="n">
        <v>0.2514</v>
      </c>
      <c r="U10" s="9" t="n">
        <v>0.2528</v>
      </c>
      <c r="V10" s="9" t="n">
        <v>0</v>
      </c>
      <c r="W10" s="9" t="n">
        <v>0.2624</v>
      </c>
    </row>
    <row r="11">
      <c r="A11" s="8" t="inlineStr">
        <is>
          <t>C</t>
        </is>
      </c>
      <c r="B11" s="8" t="inlineStr">
        <is>
          <t>Brazil</t>
        </is>
      </c>
      <c r="C11" s="12" t="n">
        <v>1978</v>
      </c>
      <c r="D11" s="9" t="n">
        <v>0.5766</v>
      </c>
      <c r="E11" s="9" t="n">
        <v>0.8812</v>
      </c>
      <c r="F11" s="9" t="n">
        <v>0.6402</v>
      </c>
      <c r="G11" s="9" t="n">
        <v>0.1737</v>
      </c>
      <c r="H11" s="9" t="n">
        <v>0.127</v>
      </c>
      <c r="I11" s="7" t="n">
        <v>6.815</v>
      </c>
      <c r="J11" s="9" t="n">
        <v>0.0181</v>
      </c>
      <c r="K11" s="9" t="n">
        <v>0.1911</v>
      </c>
      <c r="L11" s="9" t="n">
        <v>0.4655</v>
      </c>
      <c r="M11" s="9" t="n">
        <v>0.3253</v>
      </c>
      <c r="N11" s="9" t="n">
        <v>0.0008</v>
      </c>
      <c r="O11" s="9" t="n">
        <v>0.0049</v>
      </c>
      <c r="P11" s="9" t="n">
        <v>0.008200000000000001</v>
      </c>
      <c r="Q11" s="9" t="n">
        <v>0.0372</v>
      </c>
      <c r="R11" s="9" t="n">
        <v>0.0935</v>
      </c>
      <c r="S11" s="9" t="n">
        <v>0.0645</v>
      </c>
      <c r="T11" s="9" t="n">
        <v>0.201</v>
      </c>
      <c r="U11" s="9" t="n">
        <v>0.2645</v>
      </c>
      <c r="V11" s="9" t="n">
        <v>0</v>
      </c>
      <c r="W11" s="9" t="n">
        <v>0.3253</v>
      </c>
    </row>
    <row r="12">
      <c r="A12" s="8" t="inlineStr">
        <is>
          <t>C</t>
        </is>
      </c>
      <c r="B12" s="8" t="inlineStr">
        <is>
          <t>Morocco</t>
        </is>
      </c>
      <c r="C12" s="12" t="n">
        <v>1840</v>
      </c>
      <c r="D12" s="9" t="n">
        <v>0.1991</v>
      </c>
      <c r="E12" s="9" t="n">
        <v>0.7776999999999999</v>
      </c>
      <c r="F12" s="9" t="n">
        <v>0.4398</v>
      </c>
      <c r="G12" s="9" t="n">
        <v>0.2083</v>
      </c>
      <c r="H12" s="9" t="n">
        <v>0.3195</v>
      </c>
      <c r="I12" s="7" t="n">
        <v>4.8746</v>
      </c>
      <c r="J12" s="9" t="n">
        <v>0.0997</v>
      </c>
      <c r="K12" s="9" t="n">
        <v>0.452</v>
      </c>
      <c r="L12" s="9" t="n">
        <v>0.3801</v>
      </c>
      <c r="M12" s="9" t="n">
        <v>0.06809999999999999</v>
      </c>
      <c r="N12" s="9" t="n">
        <v>0.0131</v>
      </c>
      <c r="O12" s="9" t="n">
        <v>0.0422</v>
      </c>
      <c r="P12" s="9" t="n">
        <v>0.036</v>
      </c>
      <c r="Q12" s="9" t="n">
        <v>0.1698</v>
      </c>
      <c r="R12" s="9" t="n">
        <v>0.2245</v>
      </c>
      <c r="S12" s="9" t="n">
        <v>0.06610000000000001</v>
      </c>
      <c r="T12" s="9" t="n">
        <v>0.2514</v>
      </c>
      <c r="U12" s="9" t="n">
        <v>0.1287</v>
      </c>
      <c r="V12" s="9" t="n">
        <v>0</v>
      </c>
      <c r="W12" s="9" t="n">
        <v>0.06809999999999999</v>
      </c>
    </row>
    <row r="13">
      <c r="A13" s="8" t="inlineStr">
        <is>
          <t>C</t>
        </is>
      </c>
      <c r="B13" s="8" t="inlineStr">
        <is>
          <t>Haiti</t>
        </is>
      </c>
      <c r="C13" s="12" t="n">
        <v>1536</v>
      </c>
      <c r="D13" s="9" t="n">
        <v>0.0268</v>
      </c>
      <c r="E13" s="9" t="n">
        <v>0.0738</v>
      </c>
      <c r="F13" s="9" t="n">
        <v>0.09959999999999999</v>
      </c>
      <c r="G13" s="9" t="n">
        <v>0.1368</v>
      </c>
      <c r="H13" s="9" t="n">
        <v>0.7964</v>
      </c>
      <c r="I13" s="7" t="n">
        <v>1.0113</v>
      </c>
      <c r="J13" s="9" t="n">
        <v>0.8116</v>
      </c>
      <c r="K13" s="9" t="n">
        <v>0.1768</v>
      </c>
      <c r="L13" s="9" t="n">
        <v>0.0114</v>
      </c>
      <c r="M13" s="9" t="n">
        <v>0.0002</v>
      </c>
      <c r="N13" s="9" t="n">
        <v>0.5004999999999999</v>
      </c>
      <c r="O13" s="9" t="n">
        <v>0.2644</v>
      </c>
      <c r="P13" s="9" t="n">
        <v>0.0444</v>
      </c>
      <c r="Q13" s="9" t="n">
        <v>0.1333</v>
      </c>
      <c r="R13" s="9" t="n">
        <v>0.0426</v>
      </c>
      <c r="S13" s="9" t="n">
        <v>0.0032</v>
      </c>
      <c r="T13" s="9" t="n">
        <v>0.01</v>
      </c>
      <c r="U13" s="9" t="n">
        <v>0.0014</v>
      </c>
      <c r="V13" s="9" t="n">
        <v>0</v>
      </c>
      <c r="W13" s="9" t="n">
        <v>0.0002</v>
      </c>
    </row>
    <row r="14">
      <c r="A14" s="8" t="inlineStr">
        <is>
          <t>C</t>
        </is>
      </c>
      <c r="B14" s="8" t="inlineStr">
        <is>
          <t>Scotland</t>
        </is>
      </c>
      <c r="C14" s="12" t="n">
        <v>1794</v>
      </c>
      <c r="D14" s="9" t="n">
        <v>0.1551</v>
      </c>
      <c r="E14" s="9" t="n">
        <v>0.3081</v>
      </c>
      <c r="F14" s="9" t="n">
        <v>0.7302999999999999</v>
      </c>
      <c r="G14" s="9" t="n">
        <v>0.209</v>
      </c>
      <c r="H14" s="9" t="n">
        <v>0.3932</v>
      </c>
      <c r="I14" s="7" t="n">
        <v>4.2075</v>
      </c>
      <c r="J14" s="9" t="n">
        <v>0.1577</v>
      </c>
      <c r="K14" s="9" t="n">
        <v>0.5261</v>
      </c>
      <c r="L14" s="9" t="n">
        <v>0.2814</v>
      </c>
      <c r="M14" s="9" t="n">
        <v>0.0349</v>
      </c>
      <c r="N14" s="9" t="n">
        <v>0.028</v>
      </c>
      <c r="O14" s="9" t="n">
        <v>0.07290000000000001</v>
      </c>
      <c r="P14" s="9" t="n">
        <v>0.0479</v>
      </c>
      <c r="Q14" s="9" t="n">
        <v>0.2408</v>
      </c>
      <c r="R14" s="9" t="n">
        <v>0.239</v>
      </c>
      <c r="S14" s="9" t="n">
        <v>0.0551</v>
      </c>
      <c r="T14" s="9" t="n">
        <v>0.1986</v>
      </c>
      <c r="U14" s="9" t="n">
        <v>0.0828</v>
      </c>
      <c r="V14" s="9" t="n">
        <v>0</v>
      </c>
      <c r="W14" s="9" t="n">
        <v>0.0349</v>
      </c>
    </row>
    <row r="15">
      <c r="A15" s="8" t="inlineStr">
        <is>
          <t>D</t>
        </is>
      </c>
      <c r="B15" s="8" t="inlineStr">
        <is>
          <t>United States</t>
        </is>
      </c>
      <c r="C15" s="12" t="n">
        <v>1780</v>
      </c>
      <c r="D15" s="9" t="n">
        <v>0.4685</v>
      </c>
      <c r="E15" s="9" t="n">
        <v>0.3798</v>
      </c>
      <c r="F15" s="9" t="n">
        <v>0.3653</v>
      </c>
      <c r="G15" s="9" t="n">
        <v>0.2545</v>
      </c>
      <c r="H15" s="9" t="n">
        <v>0.341</v>
      </c>
      <c r="I15" s="7" t="n">
        <v>4.4042</v>
      </c>
      <c r="J15" s="9" t="n">
        <v>0.2092</v>
      </c>
      <c r="K15" s="9" t="n">
        <v>0.433</v>
      </c>
      <c r="L15" s="9" t="n">
        <v>0.2928</v>
      </c>
      <c r="M15" s="9" t="n">
        <v>0.065</v>
      </c>
      <c r="N15" s="9" t="n">
        <v>0.0387</v>
      </c>
      <c r="O15" s="9" t="n">
        <v>0.08790000000000001</v>
      </c>
      <c r="P15" s="9" t="n">
        <v>0.06610000000000001</v>
      </c>
      <c r="Q15" s="9" t="n">
        <v>0.1586</v>
      </c>
      <c r="R15" s="9" t="n">
        <v>0.2121</v>
      </c>
      <c r="S15" s="9" t="n">
        <v>0.0788</v>
      </c>
      <c r="T15" s="9" t="n">
        <v>0.1684</v>
      </c>
      <c r="U15" s="9" t="n">
        <v>0.1244</v>
      </c>
      <c r="V15" s="9" t="n">
        <v>0</v>
      </c>
      <c r="W15" s="9" t="n">
        <v>0.065</v>
      </c>
    </row>
    <row r="16">
      <c r="A16" s="8" t="inlineStr">
        <is>
          <t>D</t>
        </is>
      </c>
      <c r="B16" s="8" t="inlineStr">
        <is>
          <t>Paraguay</t>
        </is>
      </c>
      <c r="C16" s="12" t="n">
        <v>1780</v>
      </c>
      <c r="D16" s="9" t="n">
        <v>0.2836</v>
      </c>
      <c r="E16" s="9" t="n">
        <v>0.2912</v>
      </c>
      <c r="F16" s="9" t="n">
        <v>0.2785</v>
      </c>
      <c r="G16" s="9" t="n">
        <v>0.2481</v>
      </c>
      <c r="H16" s="9" t="n">
        <v>0.4675</v>
      </c>
      <c r="I16" s="7" t="n">
        <v>3.3041</v>
      </c>
      <c r="J16" s="9" t="n">
        <v>0.3664</v>
      </c>
      <c r="K16" s="9" t="n">
        <v>0.437</v>
      </c>
      <c r="L16" s="9" t="n">
        <v>0.1737</v>
      </c>
      <c r="M16" s="9" t="n">
        <v>0.023</v>
      </c>
      <c r="N16" s="9" t="n">
        <v>0.1021</v>
      </c>
      <c r="O16" s="9" t="n">
        <v>0.1626</v>
      </c>
      <c r="P16" s="9" t="n">
        <v>0.0863</v>
      </c>
      <c r="Q16" s="9" t="n">
        <v>0.2018</v>
      </c>
      <c r="R16" s="9" t="n">
        <v>0.1979</v>
      </c>
      <c r="S16" s="9" t="n">
        <v>0.0525</v>
      </c>
      <c r="T16" s="9" t="n">
        <v>0.1135</v>
      </c>
      <c r="U16" s="9" t="n">
        <v>0.0602</v>
      </c>
      <c r="V16" s="9" t="n">
        <v>0</v>
      </c>
      <c r="W16" s="9" t="n">
        <v>0.023</v>
      </c>
    </row>
    <row r="17">
      <c r="A17" s="8" t="inlineStr">
        <is>
          <t>D</t>
        </is>
      </c>
      <c r="B17" s="8" t="inlineStr">
        <is>
          <t>Australia</t>
        </is>
      </c>
      <c r="C17" s="12" t="n">
        <v>1839</v>
      </c>
      <c r="D17" s="9" t="n">
        <v>0.3625</v>
      </c>
      <c r="E17" s="9" t="n">
        <v>0.4594</v>
      </c>
      <c r="F17" s="9" t="n">
        <v>0.3569</v>
      </c>
      <c r="G17" s="9" t="n">
        <v>0.2548</v>
      </c>
      <c r="H17" s="9" t="n">
        <v>0.3522</v>
      </c>
      <c r="I17" s="7" t="n">
        <v>4.301</v>
      </c>
      <c r="J17" s="9" t="n">
        <v>0.2216</v>
      </c>
      <c r="K17" s="9" t="n">
        <v>0.4374</v>
      </c>
      <c r="L17" s="9" t="n">
        <v>0.2816</v>
      </c>
      <c r="M17" s="9" t="n">
        <v>0.0594</v>
      </c>
      <c r="N17" s="9" t="n">
        <v>0.0427</v>
      </c>
      <c r="O17" s="9" t="n">
        <v>0.0939</v>
      </c>
      <c r="P17" s="9" t="n">
        <v>0.06850000000000001</v>
      </c>
      <c r="Q17" s="9" t="n">
        <v>0.164</v>
      </c>
      <c r="R17" s="9" t="n">
        <v>0.2132</v>
      </c>
      <c r="S17" s="9" t="n">
        <v>0.0767</v>
      </c>
      <c r="T17" s="9" t="n">
        <v>0.1642</v>
      </c>
      <c r="U17" s="9" t="n">
        <v>0.1174</v>
      </c>
      <c r="V17" s="9" t="n">
        <v>0</v>
      </c>
      <c r="W17" s="9" t="n">
        <v>0.0594</v>
      </c>
    </row>
    <row r="18">
      <c r="A18" s="8" t="inlineStr">
        <is>
          <t>D</t>
        </is>
      </c>
      <c r="B18" s="8" t="inlineStr">
        <is>
          <t>Turkey</t>
        </is>
      </c>
      <c r="C18" s="12" t="n">
        <v>1849</v>
      </c>
      <c r="D18" s="9" t="n">
        <v>0.3768</v>
      </c>
      <c r="E18" s="9" t="n">
        <v>0.4745</v>
      </c>
      <c r="F18" s="9" t="n">
        <v>0.3857</v>
      </c>
      <c r="G18" s="9" t="n">
        <v>0.2541</v>
      </c>
      <c r="H18" s="9" t="n">
        <v>0.3336</v>
      </c>
      <c r="I18" s="7" t="n">
        <v>4.4734</v>
      </c>
      <c r="J18" s="9" t="n">
        <v>0.2012</v>
      </c>
      <c r="K18" s="9" t="n">
        <v>0.4296</v>
      </c>
      <c r="L18" s="9" t="n">
        <v>0.3003</v>
      </c>
      <c r="M18" s="9" t="n">
        <v>0.06900000000000001</v>
      </c>
      <c r="N18" s="9" t="n">
        <v>0.0363</v>
      </c>
      <c r="O18" s="9" t="n">
        <v>0.08400000000000001</v>
      </c>
      <c r="P18" s="9" t="n">
        <v>0.0644</v>
      </c>
      <c r="Q18" s="9" t="n">
        <v>0.155</v>
      </c>
      <c r="R18" s="9" t="n">
        <v>0.211</v>
      </c>
      <c r="S18" s="9" t="n">
        <v>0.08</v>
      </c>
      <c r="T18" s="9" t="n">
        <v>0.1712</v>
      </c>
      <c r="U18" s="9" t="n">
        <v>0.1291</v>
      </c>
      <c r="V18" s="9" t="n">
        <v>0</v>
      </c>
      <c r="W18" s="9" t="n">
        <v>0.06900000000000001</v>
      </c>
    </row>
    <row r="19">
      <c r="A19" s="8" t="inlineStr">
        <is>
          <t>E</t>
        </is>
      </c>
      <c r="B19" s="8" t="inlineStr">
        <is>
          <t>Germany</t>
        </is>
      </c>
      <c r="C19" s="12" t="n">
        <v>1939</v>
      </c>
      <c r="D19" s="9" t="n">
        <v>0.915</v>
      </c>
      <c r="E19" s="9" t="n">
        <v>0.6559</v>
      </c>
      <c r="F19" s="9" t="n">
        <v>0.4443</v>
      </c>
      <c r="G19" s="9" t="n">
        <v>0.1737</v>
      </c>
      <c r="H19" s="9" t="n">
        <v>0.1546</v>
      </c>
      <c r="I19" s="7" t="n">
        <v>6.5666</v>
      </c>
      <c r="J19" s="9" t="n">
        <v>0.0163</v>
      </c>
      <c r="K19" s="9" t="n">
        <v>0.219</v>
      </c>
      <c r="L19" s="9" t="n">
        <v>0.4982</v>
      </c>
      <c r="M19" s="9" t="n">
        <v>0.2666</v>
      </c>
      <c r="N19" s="9" t="n">
        <v>0.0005999999999999999</v>
      </c>
      <c r="O19" s="9" t="n">
        <v>0.0045</v>
      </c>
      <c r="P19" s="9" t="n">
        <v>0.0076</v>
      </c>
      <c r="Q19" s="9" t="n">
        <v>0.0477</v>
      </c>
      <c r="R19" s="9" t="n">
        <v>0.1111</v>
      </c>
      <c r="S19" s="9" t="n">
        <v>0.06370000000000001</v>
      </c>
      <c r="T19" s="9" t="n">
        <v>0.2457</v>
      </c>
      <c r="U19" s="9" t="n">
        <v>0.2524</v>
      </c>
      <c r="V19" s="9" t="n">
        <v>0</v>
      </c>
      <c r="W19" s="9" t="n">
        <v>0.2666</v>
      </c>
    </row>
    <row r="20">
      <c r="A20" s="8" t="inlineStr">
        <is>
          <t>E</t>
        </is>
      </c>
      <c r="B20" s="8" t="inlineStr">
        <is>
          <t>Curacao</t>
        </is>
      </c>
      <c r="C20" s="12" t="n">
        <v>1427</v>
      </c>
      <c r="D20" s="9" t="n">
        <v>0.0147</v>
      </c>
      <c r="E20" s="9" t="n">
        <v>0.06809999999999999</v>
      </c>
      <c r="F20" s="9" t="n">
        <v>0.0226</v>
      </c>
      <c r="G20" s="9" t="n">
        <v>0.0994</v>
      </c>
      <c r="H20" s="9" t="n">
        <v>0.8655</v>
      </c>
      <c r="I20" s="7" t="n">
        <v>0.6143</v>
      </c>
      <c r="J20" s="9" t="n">
        <v>0.8975</v>
      </c>
      <c r="K20" s="9" t="n">
        <v>0.0997</v>
      </c>
      <c r="L20" s="9" t="n">
        <v>0.0028</v>
      </c>
      <c r="M20" s="9" t="n">
        <v>0</v>
      </c>
      <c r="N20" s="9" t="n">
        <v>0.6443</v>
      </c>
      <c r="O20" s="9" t="n">
        <v>0.2275</v>
      </c>
      <c r="P20" s="9" t="n">
        <v>0.0248</v>
      </c>
      <c r="Q20" s="9" t="n">
        <v>0.08309999999999999</v>
      </c>
      <c r="R20" s="9" t="n">
        <v>0.0166</v>
      </c>
      <c r="S20" s="9" t="n">
        <v>0.0008</v>
      </c>
      <c r="T20" s="9" t="n">
        <v>0.0026</v>
      </c>
      <c r="U20" s="9" t="n">
        <v>0.0002</v>
      </c>
      <c r="V20" s="9" t="n">
        <v>0</v>
      </c>
      <c r="W20" s="9" t="n">
        <v>0</v>
      </c>
    </row>
    <row r="21">
      <c r="A21" s="8" t="inlineStr">
        <is>
          <t>E</t>
        </is>
      </c>
      <c r="B21" s="8" t="inlineStr">
        <is>
          <t>Ivory Coast</t>
        </is>
      </c>
      <c r="C21" s="12" t="n">
        <v>1743</v>
      </c>
      <c r="D21" s="9" t="n">
        <v>0.1448</v>
      </c>
      <c r="E21" s="9" t="n">
        <v>0.789</v>
      </c>
      <c r="F21" s="9" t="n">
        <v>0.1899</v>
      </c>
      <c r="G21" s="9" t="n">
        <v>0.1876</v>
      </c>
      <c r="H21" s="9" t="n">
        <v>0.4378</v>
      </c>
      <c r="I21" s="7" t="n">
        <v>3.934</v>
      </c>
      <c r="J21" s="9" t="n">
        <v>0.1462</v>
      </c>
      <c r="K21" s="9" t="n">
        <v>0.6056</v>
      </c>
      <c r="L21" s="9" t="n">
        <v>0.2265</v>
      </c>
      <c r="M21" s="9" t="n">
        <v>0.0217</v>
      </c>
      <c r="N21" s="9" t="n">
        <v>0.0263</v>
      </c>
      <c r="O21" s="9" t="n">
        <v>0.0731</v>
      </c>
      <c r="P21" s="9" t="n">
        <v>0.0405</v>
      </c>
      <c r="Q21" s="9" t="n">
        <v>0.3256</v>
      </c>
      <c r="R21" s="9" t="n">
        <v>0.2416</v>
      </c>
      <c r="S21" s="9" t="n">
        <v>0.0447</v>
      </c>
      <c r="T21" s="9" t="n">
        <v>0.1675</v>
      </c>
      <c r="U21" s="9" t="n">
        <v>0.059</v>
      </c>
      <c r="V21" s="9" t="n">
        <v>0</v>
      </c>
      <c r="W21" s="9" t="n">
        <v>0.0217</v>
      </c>
    </row>
    <row r="22">
      <c r="A22" s="8" t="inlineStr">
        <is>
          <t>E</t>
        </is>
      </c>
      <c r="B22" s="8" t="inlineStr">
        <is>
          <t>Ecuador</t>
        </is>
      </c>
      <c r="C22" s="12" t="n">
        <v>1890</v>
      </c>
      <c r="D22" s="9" t="n">
        <v>0.3042</v>
      </c>
      <c r="E22" s="9" t="n">
        <v>0.8925</v>
      </c>
      <c r="F22" s="9" t="n">
        <v>0.5894</v>
      </c>
      <c r="G22" s="9" t="n">
        <v>0.1857</v>
      </c>
      <c r="H22" s="9" t="n">
        <v>0.2189</v>
      </c>
      <c r="I22" s="7" t="n">
        <v>5.9154</v>
      </c>
      <c r="J22" s="9" t="n">
        <v>0.0307</v>
      </c>
      <c r="K22" s="9" t="n">
        <v>0.3125</v>
      </c>
      <c r="L22" s="9" t="n">
        <v>0.4968</v>
      </c>
      <c r="M22" s="9" t="n">
        <v>0.16</v>
      </c>
      <c r="N22" s="9" t="n">
        <v>0.0019</v>
      </c>
      <c r="O22" s="9" t="n">
        <v>0.0105</v>
      </c>
      <c r="P22" s="9" t="n">
        <v>0.0136</v>
      </c>
      <c r="Q22" s="9" t="n">
        <v>0.0872</v>
      </c>
      <c r="R22" s="9" t="n">
        <v>0.1621</v>
      </c>
      <c r="S22" s="9" t="n">
        <v>0.0678</v>
      </c>
      <c r="T22" s="9" t="n">
        <v>0.2893</v>
      </c>
      <c r="U22" s="9" t="n">
        <v>0.2075</v>
      </c>
      <c r="V22" s="9" t="n">
        <v>0</v>
      </c>
      <c r="W22" s="9" t="n">
        <v>0.16</v>
      </c>
    </row>
    <row r="23">
      <c r="A23" s="8" t="inlineStr">
        <is>
          <t>F</t>
        </is>
      </c>
      <c r="B23" s="8" t="inlineStr">
        <is>
          <t>Netherlands</t>
        </is>
      </c>
      <c r="C23" s="12" t="n">
        <v>1944</v>
      </c>
      <c r="D23" s="9" t="n">
        <v>0.4216</v>
      </c>
      <c r="E23" s="9" t="n">
        <v>0.6468</v>
      </c>
      <c r="F23" s="9" t="n">
        <v>0.8256</v>
      </c>
      <c r="G23" s="9" t="n">
        <v>0.1936</v>
      </c>
      <c r="H23" s="9" t="n">
        <v>0.1751</v>
      </c>
      <c r="I23" s="7" t="n">
        <v>6.2628</v>
      </c>
      <c r="J23" s="9" t="n">
        <v>0.0356</v>
      </c>
      <c r="K23" s="9" t="n">
        <v>0.2599</v>
      </c>
      <c r="L23" s="9" t="n">
        <v>0.4793</v>
      </c>
      <c r="M23" s="9" t="n">
        <v>0.2251</v>
      </c>
      <c r="N23" s="9" t="n">
        <v>0.0025</v>
      </c>
      <c r="O23" s="9" t="n">
        <v>0.0113</v>
      </c>
      <c r="P23" s="9" t="n">
        <v>0.0155</v>
      </c>
      <c r="Q23" s="9" t="n">
        <v>0.0605</v>
      </c>
      <c r="R23" s="9" t="n">
        <v>0.1323</v>
      </c>
      <c r="S23" s="9" t="n">
        <v>0.0735</v>
      </c>
      <c r="T23" s="9" t="n">
        <v>0.2393</v>
      </c>
      <c r="U23" s="9" t="n">
        <v>0.2401</v>
      </c>
      <c r="V23" s="9" t="n">
        <v>0</v>
      </c>
      <c r="W23" s="9" t="n">
        <v>0.2251</v>
      </c>
    </row>
    <row r="24">
      <c r="A24" s="8" t="inlineStr">
        <is>
          <t>F</t>
        </is>
      </c>
      <c r="B24" s="8" t="inlineStr">
        <is>
          <t>Japan</t>
        </is>
      </c>
      <c r="C24" s="12" t="n">
        <v>1910</v>
      </c>
      <c r="D24" s="9" t="n">
        <v>0.3241</v>
      </c>
      <c r="E24" s="9" t="n">
        <v>0.6007</v>
      </c>
      <c r="F24" s="9" t="n">
        <v>0.7971</v>
      </c>
      <c r="G24" s="9" t="n">
        <v>0.2035</v>
      </c>
      <c r="H24" s="9" t="n">
        <v>0.2225</v>
      </c>
      <c r="I24" s="7" t="n">
        <v>5.7762</v>
      </c>
      <c r="J24" s="9" t="n">
        <v>0.0548</v>
      </c>
      <c r="K24" s="9" t="n">
        <v>0.3238</v>
      </c>
      <c r="L24" s="9" t="n">
        <v>0.4663</v>
      </c>
      <c r="M24" s="9" t="n">
        <v>0.1552</v>
      </c>
      <c r="N24" s="9" t="n">
        <v>0.0049</v>
      </c>
      <c r="O24" s="9" t="n">
        <v>0.0195</v>
      </c>
      <c r="P24" s="9" t="n">
        <v>0.0227</v>
      </c>
      <c r="Q24" s="9" t="n">
        <v>0.0888</v>
      </c>
      <c r="R24" s="9" t="n">
        <v>0.1676</v>
      </c>
      <c r="S24" s="9" t="n">
        <v>0.075</v>
      </c>
      <c r="T24" s="9" t="n">
        <v>0.2614</v>
      </c>
      <c r="U24" s="9" t="n">
        <v>0.2049</v>
      </c>
      <c r="V24" s="9" t="n">
        <v>0</v>
      </c>
      <c r="W24" s="9" t="n">
        <v>0.1552</v>
      </c>
    </row>
    <row r="25">
      <c r="A25" s="8" t="inlineStr">
        <is>
          <t>F</t>
        </is>
      </c>
      <c r="B25" s="8" t="inlineStr">
        <is>
          <t>Sweden</t>
        </is>
      </c>
      <c r="C25" s="12" t="n">
        <v>1755</v>
      </c>
      <c r="D25" s="9" t="n">
        <v>0.1508</v>
      </c>
      <c r="E25" s="9" t="n">
        <v>0.182</v>
      </c>
      <c r="F25" s="9" t="n">
        <v>0.6214</v>
      </c>
      <c r="G25" s="9" t="n">
        <v>0.2103</v>
      </c>
      <c r="H25" s="9" t="n">
        <v>0.4717</v>
      </c>
      <c r="I25" s="7" t="n">
        <v>3.493</v>
      </c>
      <c r="J25" s="9" t="n">
        <v>0.263</v>
      </c>
      <c r="K25" s="9" t="n">
        <v>0.5369</v>
      </c>
      <c r="L25" s="9" t="n">
        <v>0.183</v>
      </c>
      <c r="M25" s="9" t="n">
        <v>0.017</v>
      </c>
      <c r="N25" s="9" t="n">
        <v>0.06510000000000001</v>
      </c>
      <c r="O25" s="9" t="n">
        <v>0.1259</v>
      </c>
      <c r="P25" s="9" t="n">
        <v>0.06270000000000001</v>
      </c>
      <c r="Q25" s="9" t="n">
        <v>0.2856</v>
      </c>
      <c r="R25" s="9" t="n">
        <v>0.2185</v>
      </c>
      <c r="S25" s="9" t="n">
        <v>0.042</v>
      </c>
      <c r="T25" s="9" t="n">
        <v>0.134</v>
      </c>
      <c r="U25" s="9" t="n">
        <v>0.049</v>
      </c>
      <c r="V25" s="9" t="n">
        <v>0</v>
      </c>
      <c r="W25" s="9" t="n">
        <v>0.017</v>
      </c>
    </row>
    <row r="26">
      <c r="A26" s="8" t="inlineStr">
        <is>
          <t>F</t>
        </is>
      </c>
      <c r="B26" s="8" t="inlineStr">
        <is>
          <t>Tunisia</t>
        </is>
      </c>
      <c r="C26" s="12" t="n">
        <v>1585</v>
      </c>
      <c r="D26" s="9" t="n">
        <v>0.0504</v>
      </c>
      <c r="E26" s="9" t="n">
        <v>0.064</v>
      </c>
      <c r="F26" s="9" t="n">
        <v>0.1677</v>
      </c>
      <c r="G26" s="9" t="n">
        <v>0.1579</v>
      </c>
      <c r="H26" s="9" t="n">
        <v>0.748</v>
      </c>
      <c r="I26" s="7" t="n">
        <v>1.3201</v>
      </c>
      <c r="J26" s="9" t="n">
        <v>0.7398</v>
      </c>
      <c r="K26" s="9" t="n">
        <v>0.2389</v>
      </c>
      <c r="L26" s="9" t="n">
        <v>0.0208</v>
      </c>
      <c r="M26" s="9" t="n">
        <v>0.0005</v>
      </c>
      <c r="N26" s="9" t="n">
        <v>0.4089</v>
      </c>
      <c r="O26" s="9" t="n">
        <v>0.2715</v>
      </c>
      <c r="P26" s="9" t="n">
        <v>0.0557</v>
      </c>
      <c r="Q26" s="9" t="n">
        <v>0.1718</v>
      </c>
      <c r="R26" s="9" t="n">
        <v>0.06469999999999999</v>
      </c>
      <c r="S26" s="9" t="n">
        <v>0.006</v>
      </c>
      <c r="T26" s="9" t="n">
        <v>0.0176</v>
      </c>
      <c r="U26" s="9" t="n">
        <v>0.0032</v>
      </c>
      <c r="V26" s="9" t="n">
        <v>0</v>
      </c>
      <c r="W26" s="9" t="n">
        <v>0.0005</v>
      </c>
    </row>
    <row r="27">
      <c r="A27" s="8" t="inlineStr">
        <is>
          <t>G</t>
        </is>
      </c>
      <c r="B27" s="8" t="inlineStr">
        <is>
          <t>Belgium</t>
        </is>
      </c>
      <c r="C27" s="12" t="n">
        <v>1879</v>
      </c>
      <c r="D27" s="9" t="n">
        <v>0.6186</v>
      </c>
      <c r="E27" s="9" t="n">
        <v>0.555</v>
      </c>
      <c r="F27" s="9" t="n">
        <v>0.7748</v>
      </c>
      <c r="G27" s="9" t="n">
        <v>0.1972</v>
      </c>
      <c r="H27" s="9" t="n">
        <v>0.1533</v>
      </c>
      <c r="I27" s="7" t="n">
        <v>6.437</v>
      </c>
      <c r="J27" s="9" t="n">
        <v>0.0382</v>
      </c>
      <c r="K27" s="9" t="n">
        <v>0.2411</v>
      </c>
      <c r="L27" s="9" t="n">
        <v>0.4546</v>
      </c>
      <c r="M27" s="9" t="n">
        <v>0.266</v>
      </c>
      <c r="N27" s="9" t="n">
        <v>0.0027</v>
      </c>
      <c r="O27" s="9" t="n">
        <v>0.0118</v>
      </c>
      <c r="P27" s="9" t="n">
        <v>0.0163</v>
      </c>
      <c r="Q27" s="9" t="n">
        <v>0.0527</v>
      </c>
      <c r="R27" s="9" t="n">
        <v>0.1191</v>
      </c>
      <c r="S27" s="9" t="n">
        <v>0.0767</v>
      </c>
      <c r="T27" s="9" t="n">
        <v>0.2019</v>
      </c>
      <c r="U27" s="9" t="n">
        <v>0.2528</v>
      </c>
      <c r="V27" s="9" t="n">
        <v>0</v>
      </c>
      <c r="W27" s="9" t="n">
        <v>0.266</v>
      </c>
    </row>
    <row r="28">
      <c r="A28" s="8" t="inlineStr">
        <is>
          <t>G</t>
        </is>
      </c>
      <c r="B28" s="8" t="inlineStr">
        <is>
          <t>Egypt</t>
        </is>
      </c>
      <c r="C28" s="12" t="n">
        <v>1711</v>
      </c>
      <c r="D28" s="9" t="n">
        <v>0.1696</v>
      </c>
      <c r="E28" s="9" t="n">
        <v>0.3094</v>
      </c>
      <c r="F28" s="9" t="n">
        <v>0.5695</v>
      </c>
      <c r="G28" s="9" t="n">
        <v>0.2301</v>
      </c>
      <c r="H28" s="9" t="n">
        <v>0.4204</v>
      </c>
      <c r="I28" s="7" t="n">
        <v>3.8357</v>
      </c>
      <c r="J28" s="9" t="n">
        <v>0.2469</v>
      </c>
      <c r="K28" s="9" t="n">
        <v>0.4876</v>
      </c>
      <c r="L28" s="9" t="n">
        <v>0.2356</v>
      </c>
      <c r="M28" s="9" t="n">
        <v>0.0299</v>
      </c>
      <c r="N28" s="9" t="n">
        <v>0.0554</v>
      </c>
      <c r="O28" s="9" t="n">
        <v>0.1122</v>
      </c>
      <c r="P28" s="9" t="n">
        <v>0.0672</v>
      </c>
      <c r="Q28" s="9" t="n">
        <v>0.2208</v>
      </c>
      <c r="R28" s="9" t="n">
        <v>0.224</v>
      </c>
      <c r="S28" s="9" t="n">
        <v>0.0549</v>
      </c>
      <c r="T28" s="9" t="n">
        <v>0.162</v>
      </c>
      <c r="U28" s="9" t="n">
        <v>0.0736</v>
      </c>
      <c r="V28" s="9" t="n">
        <v>0</v>
      </c>
      <c r="W28" s="9" t="n">
        <v>0.0299</v>
      </c>
    </row>
    <row r="29">
      <c r="A29" s="8" t="inlineStr">
        <is>
          <t>G</t>
        </is>
      </c>
      <c r="B29" s="8" t="inlineStr">
        <is>
          <t>Iran</t>
        </is>
      </c>
      <c r="C29" s="12" t="n">
        <v>1756</v>
      </c>
      <c r="D29" s="9" t="n">
        <v>0.215</v>
      </c>
      <c r="E29" s="9" t="n">
        <v>0.4382</v>
      </c>
      <c r="F29" s="9" t="n">
        <v>0.6322</v>
      </c>
      <c r="G29" s="9" t="n">
        <v>0.2299</v>
      </c>
      <c r="H29" s="9" t="n">
        <v>0.3416</v>
      </c>
      <c r="I29" s="7" t="n">
        <v>4.5461</v>
      </c>
      <c r="J29" s="9" t="n">
        <v>0.1622</v>
      </c>
      <c r="K29" s="9" t="n">
        <v>0.4497</v>
      </c>
      <c r="L29" s="9" t="n">
        <v>0.3285</v>
      </c>
      <c r="M29" s="9" t="n">
        <v>0.0596</v>
      </c>
      <c r="N29" s="9" t="n">
        <v>0.0275</v>
      </c>
      <c r="O29" s="9" t="n">
        <v>0.06950000000000001</v>
      </c>
      <c r="P29" s="9" t="n">
        <v>0.0531</v>
      </c>
      <c r="Q29" s="9" t="n">
        <v>0.1703</v>
      </c>
      <c r="R29" s="9" t="n">
        <v>0.2226</v>
      </c>
      <c r="S29" s="9" t="n">
        <v>0.0688</v>
      </c>
      <c r="T29" s="9" t="n">
        <v>0.2109</v>
      </c>
      <c r="U29" s="9" t="n">
        <v>0.1176</v>
      </c>
      <c r="V29" s="9" t="n">
        <v>0</v>
      </c>
      <c r="W29" s="9" t="n">
        <v>0.0596</v>
      </c>
    </row>
    <row r="30">
      <c r="A30" s="8" t="inlineStr">
        <is>
          <t>G</t>
        </is>
      </c>
      <c r="B30" s="8" t="inlineStr">
        <is>
          <t>New Zealand</t>
        </is>
      </c>
      <c r="C30" s="12" t="n">
        <v>1578</v>
      </c>
      <c r="D30" s="9" t="n">
        <v>0.07530000000000001</v>
      </c>
      <c r="E30" s="9" t="n">
        <v>0.2043</v>
      </c>
      <c r="F30" s="9" t="n">
        <v>0.1604</v>
      </c>
      <c r="G30" s="9" t="n">
        <v>0.1945</v>
      </c>
      <c r="H30" s="9" t="n">
        <v>0.6588000000000001</v>
      </c>
      <c r="I30" s="7" t="n">
        <v>1.9037</v>
      </c>
      <c r="J30" s="9" t="n">
        <v>0.6177</v>
      </c>
      <c r="K30" s="9" t="n">
        <v>0.327</v>
      </c>
      <c r="L30" s="9" t="n">
        <v>0.0528</v>
      </c>
      <c r="M30" s="9" t="n">
        <v>0.0025</v>
      </c>
      <c r="N30" s="9" t="n">
        <v>0.2789</v>
      </c>
      <c r="O30" s="9" t="n">
        <v>0.2563</v>
      </c>
      <c r="P30" s="9" t="n">
        <v>0.0755</v>
      </c>
      <c r="Q30" s="9" t="n">
        <v>0.205</v>
      </c>
      <c r="R30" s="9" t="n">
        <v>0.1137</v>
      </c>
      <c r="S30" s="9" t="n">
        <v>0.0153</v>
      </c>
      <c r="T30" s="9" t="n">
        <v>0.042</v>
      </c>
      <c r="U30" s="9" t="n">
        <v>0.0108</v>
      </c>
      <c r="V30" s="9" t="n">
        <v>0</v>
      </c>
      <c r="W30" s="9" t="n">
        <v>0.0025</v>
      </c>
    </row>
    <row r="31">
      <c r="A31" s="8" t="inlineStr">
        <is>
          <t>H</t>
        </is>
      </c>
      <c r="B31" s="8" t="inlineStr">
        <is>
          <t>Spain</t>
        </is>
      </c>
      <c r="C31" s="12" t="n">
        <v>2129</v>
      </c>
      <c r="D31" s="9" t="n">
        <v>0.9194</v>
      </c>
      <c r="E31" s="9" t="n">
        <v>0.9225</v>
      </c>
      <c r="F31" s="9" t="n">
        <v>0.7314000000000001</v>
      </c>
      <c r="G31" s="9" t="n">
        <v>0.1007</v>
      </c>
      <c r="H31" s="9" t="n">
        <v>0.0416</v>
      </c>
      <c r="I31" s="7" t="n">
        <v>8.022</v>
      </c>
      <c r="J31" s="9" t="n">
        <v>0.0017</v>
      </c>
      <c r="K31" s="9" t="n">
        <v>0.0437</v>
      </c>
      <c r="L31" s="9" t="n">
        <v>0.3343</v>
      </c>
      <c r="M31" s="9" t="n">
        <v>0.6204</v>
      </c>
      <c r="N31" s="9" t="n">
        <v>0</v>
      </c>
      <c r="O31" s="9" t="n">
        <v>0.0002</v>
      </c>
      <c r="P31" s="9" t="n">
        <v>0.0007</v>
      </c>
      <c r="Q31" s="9" t="n">
        <v>0.0032</v>
      </c>
      <c r="R31" s="9" t="n">
        <v>0.0173</v>
      </c>
      <c r="S31" s="9" t="n">
        <v>0.0239</v>
      </c>
      <c r="T31" s="9" t="n">
        <v>0.1013</v>
      </c>
      <c r="U31" s="9" t="n">
        <v>0.233</v>
      </c>
      <c r="V31" s="9" t="n">
        <v>0</v>
      </c>
      <c r="W31" s="9" t="n">
        <v>0.6204</v>
      </c>
    </row>
    <row r="32">
      <c r="A32" s="8" t="inlineStr">
        <is>
          <t>H</t>
        </is>
      </c>
      <c r="B32" s="8" t="inlineStr">
        <is>
          <t>Cape Verde</t>
        </is>
      </c>
      <c r="C32" s="12" t="n">
        <v>1606</v>
      </c>
      <c r="D32" s="9" t="n">
        <v>0.0133</v>
      </c>
      <c r="E32" s="9" t="n">
        <v>0.3827</v>
      </c>
      <c r="F32" s="9" t="n">
        <v>0.0959</v>
      </c>
      <c r="G32" s="9" t="n">
        <v>0.164</v>
      </c>
      <c r="H32" s="9" t="n">
        <v>0.672</v>
      </c>
      <c r="I32" s="7" t="n">
        <v>1.9679</v>
      </c>
      <c r="J32" s="9" t="n">
        <v>0.5506</v>
      </c>
      <c r="K32" s="9" t="n">
        <v>0.4073</v>
      </c>
      <c r="L32" s="9" t="n">
        <v>0.0416</v>
      </c>
      <c r="M32" s="9" t="n">
        <v>0.0005</v>
      </c>
      <c r="N32" s="9" t="n">
        <v>0.2437</v>
      </c>
      <c r="O32" s="9" t="n">
        <v>0.2476</v>
      </c>
      <c r="P32" s="9" t="n">
        <v>0.0564</v>
      </c>
      <c r="Q32" s="9" t="n">
        <v>0.2974</v>
      </c>
      <c r="R32" s="9" t="n">
        <v>0.1062</v>
      </c>
      <c r="S32" s="9" t="n">
        <v>0.0065</v>
      </c>
      <c r="T32" s="9" t="n">
        <v>0.038</v>
      </c>
      <c r="U32" s="9" t="n">
        <v>0.0036</v>
      </c>
      <c r="V32" s="9" t="n">
        <v>0</v>
      </c>
      <c r="W32" s="9" t="n">
        <v>0.0005</v>
      </c>
    </row>
    <row r="33">
      <c r="A33" s="8" t="inlineStr">
        <is>
          <t>H</t>
        </is>
      </c>
      <c r="B33" s="8" t="inlineStr">
        <is>
          <t>Saudi Arabia</t>
        </is>
      </c>
      <c r="C33" s="12" t="n">
        <v>1598</v>
      </c>
      <c r="D33" s="9" t="n">
        <v>0.0124</v>
      </c>
      <c r="E33" s="9" t="n">
        <v>0.3597</v>
      </c>
      <c r="F33" s="9" t="n">
        <v>0.0911</v>
      </c>
      <c r="G33" s="9" t="n">
        <v>0.162</v>
      </c>
      <c r="H33" s="9" t="n">
        <v>0.6836</v>
      </c>
      <c r="I33" s="7" t="n">
        <v>1.8757</v>
      </c>
      <c r="J33" s="9" t="n">
        <v>0.5748</v>
      </c>
      <c r="K33" s="9" t="n">
        <v>0.3877</v>
      </c>
      <c r="L33" s="9" t="n">
        <v>0.0371</v>
      </c>
      <c r="M33" s="9" t="n">
        <v>0.0004</v>
      </c>
      <c r="N33" s="9" t="n">
        <v>0.2632</v>
      </c>
      <c r="O33" s="9" t="n">
        <v>0.2534</v>
      </c>
      <c r="P33" s="9" t="n">
        <v>0.0554</v>
      </c>
      <c r="Q33" s="9" t="n">
        <v>0.2858</v>
      </c>
      <c r="R33" s="9" t="n">
        <v>0.0988</v>
      </c>
      <c r="S33" s="9" t="n">
        <v>0.0059</v>
      </c>
      <c r="T33" s="9" t="n">
        <v>0.034</v>
      </c>
      <c r="U33" s="9" t="n">
        <v>0.0032</v>
      </c>
      <c r="V33" s="9" t="n">
        <v>0</v>
      </c>
      <c r="W33" s="9" t="n">
        <v>0.0004</v>
      </c>
    </row>
    <row r="34">
      <c r="A34" s="8" t="inlineStr">
        <is>
          <t>H</t>
        </is>
      </c>
      <c r="B34" s="8" t="inlineStr">
        <is>
          <t>Uruguay</t>
        </is>
      </c>
      <c r="C34" s="12" t="n">
        <v>1870</v>
      </c>
      <c r="D34" s="9" t="n">
        <v>0.099</v>
      </c>
      <c r="E34" s="9" t="n">
        <v>0.7369</v>
      </c>
      <c r="F34" s="9" t="n">
        <v>0.7455000000000001</v>
      </c>
      <c r="G34" s="9" t="n">
        <v>0.1668</v>
      </c>
      <c r="H34" s="9" t="n">
        <v>0.3061</v>
      </c>
      <c r="I34" s="7" t="n">
        <v>5.2442</v>
      </c>
      <c r="J34" s="9" t="n">
        <v>0.0603</v>
      </c>
      <c r="K34" s="9" t="n">
        <v>0.3524</v>
      </c>
      <c r="L34" s="9" t="n">
        <v>0.5329</v>
      </c>
      <c r="M34" s="9" t="n">
        <v>0.0544</v>
      </c>
      <c r="N34" s="9" t="n">
        <v>0.0064</v>
      </c>
      <c r="O34" s="9" t="n">
        <v>0.0241</v>
      </c>
      <c r="P34" s="9" t="n">
        <v>0.0252</v>
      </c>
      <c r="Q34" s="9" t="n">
        <v>0.1069</v>
      </c>
      <c r="R34" s="9" t="n">
        <v>0.2058</v>
      </c>
      <c r="S34" s="9" t="n">
        <v>0.0443</v>
      </c>
      <c r="T34" s="9" t="n">
        <v>0.4155</v>
      </c>
      <c r="U34" s="9" t="n">
        <v>0.1174</v>
      </c>
      <c r="V34" s="9" t="n">
        <v>0</v>
      </c>
      <c r="W34" s="9" t="n">
        <v>0.0544</v>
      </c>
    </row>
    <row r="35">
      <c r="A35" s="8" t="inlineStr">
        <is>
          <t>I</t>
        </is>
      </c>
      <c r="B35" s="8" t="inlineStr">
        <is>
          <t>France</t>
        </is>
      </c>
      <c r="C35" s="12" t="n">
        <v>2084</v>
      </c>
      <c r="D35" s="9" t="n">
        <v>0.7157</v>
      </c>
      <c r="E35" s="9" t="n">
        <v>0.9064</v>
      </c>
      <c r="F35" s="9" t="n">
        <v>0.6007</v>
      </c>
      <c r="G35" s="9" t="n">
        <v>0.1565</v>
      </c>
      <c r="H35" s="9" t="n">
        <v>0.1025</v>
      </c>
      <c r="I35" s="7" t="n">
        <v>7.1379</v>
      </c>
      <c r="J35" s="9" t="n">
        <v>0.0106</v>
      </c>
      <c r="K35" s="9" t="n">
        <v>0.1456</v>
      </c>
      <c r="L35" s="9" t="n">
        <v>0.4541</v>
      </c>
      <c r="M35" s="9" t="n">
        <v>0.3897</v>
      </c>
      <c r="N35" s="9" t="n">
        <v>0.0003</v>
      </c>
      <c r="O35" s="9" t="n">
        <v>0.0025</v>
      </c>
      <c r="P35" s="9" t="n">
        <v>0.0049</v>
      </c>
      <c r="Q35" s="9" t="n">
        <v>0.0242</v>
      </c>
      <c r="R35" s="9" t="n">
        <v>0.0698</v>
      </c>
      <c r="S35" s="9" t="n">
        <v>0.0546</v>
      </c>
      <c r="T35" s="9" t="n">
        <v>0.1844</v>
      </c>
      <c r="U35" s="9" t="n">
        <v>0.2696</v>
      </c>
      <c r="V35" s="9" t="n">
        <v>0</v>
      </c>
      <c r="W35" s="9" t="n">
        <v>0.3897</v>
      </c>
    </row>
    <row r="36">
      <c r="A36" s="8" t="inlineStr">
        <is>
          <t>I</t>
        </is>
      </c>
      <c r="B36" s="8" t="inlineStr">
        <is>
          <t>Senegal</t>
        </is>
      </c>
      <c r="C36" s="12" t="n">
        <v>1839</v>
      </c>
      <c r="D36" s="9" t="n">
        <v>0.108</v>
      </c>
      <c r="E36" s="9" t="n">
        <v>0.718</v>
      </c>
      <c r="F36" s="9" t="n">
        <v>0.2528</v>
      </c>
      <c r="G36" s="9" t="n">
        <v>0.1976</v>
      </c>
      <c r="H36" s="9" t="n">
        <v>0.4428</v>
      </c>
      <c r="I36" s="7" t="n">
        <v>3.829</v>
      </c>
      <c r="J36" s="9" t="n">
        <v>0.188</v>
      </c>
      <c r="K36" s="9" t="n">
        <v>0.5649</v>
      </c>
      <c r="L36" s="9" t="n">
        <v>0.2275</v>
      </c>
      <c r="M36" s="9" t="n">
        <v>0.0196</v>
      </c>
      <c r="N36" s="9" t="n">
        <v>0.0387</v>
      </c>
      <c r="O36" s="9" t="n">
        <v>0.0914</v>
      </c>
      <c r="P36" s="9" t="n">
        <v>0.0504</v>
      </c>
      <c r="Q36" s="9" t="n">
        <v>0.2927</v>
      </c>
      <c r="R36" s="9" t="n">
        <v>0.2368</v>
      </c>
      <c r="S36" s="9" t="n">
        <v>0.0429</v>
      </c>
      <c r="T36" s="9" t="n">
        <v>0.1721</v>
      </c>
      <c r="U36" s="9" t="n">
        <v>0.0555</v>
      </c>
      <c r="V36" s="9" t="n">
        <v>0</v>
      </c>
      <c r="W36" s="9" t="n">
        <v>0.0196</v>
      </c>
    </row>
    <row r="37">
      <c r="A37" s="8" t="inlineStr">
        <is>
          <t>I</t>
        </is>
      </c>
      <c r="B37" s="8" t="inlineStr">
        <is>
          <t>Iraq</t>
        </is>
      </c>
      <c r="C37" s="12" t="n">
        <v>1592</v>
      </c>
      <c r="D37" s="9" t="n">
        <v>0.0176</v>
      </c>
      <c r="E37" s="9" t="n">
        <v>0.1067</v>
      </c>
      <c r="F37" s="9" t="n">
        <v>0.0589</v>
      </c>
      <c r="G37" s="9" t="n">
        <v>0.1283</v>
      </c>
      <c r="H37" s="9" t="n">
        <v>0.8106</v>
      </c>
      <c r="I37" s="7" t="n">
        <v>0.9345</v>
      </c>
      <c r="J37" s="9" t="n">
        <v>0.8259</v>
      </c>
      <c r="K37" s="9" t="n">
        <v>0.1652</v>
      </c>
      <c r="L37" s="9" t="n">
        <v>0.0089</v>
      </c>
      <c r="M37" s="9" t="n">
        <v>0.0001</v>
      </c>
      <c r="N37" s="9" t="n">
        <v>0.5255</v>
      </c>
      <c r="O37" s="9" t="n">
        <v>0.2593</v>
      </c>
      <c r="P37" s="9" t="n">
        <v>0.0393</v>
      </c>
      <c r="Q37" s="9" t="n">
        <v>0.1284</v>
      </c>
      <c r="R37" s="9" t="n">
        <v>0.0362</v>
      </c>
      <c r="S37" s="9" t="n">
        <v>0.0023</v>
      </c>
      <c r="T37" s="9" t="n">
        <v>0.008</v>
      </c>
      <c r="U37" s="9" t="n">
        <v>0.0009</v>
      </c>
      <c r="V37" s="9" t="n">
        <v>0</v>
      </c>
      <c r="W37" s="9" t="n">
        <v>0.0001</v>
      </c>
    </row>
    <row r="38">
      <c r="A38" s="8" t="inlineStr">
        <is>
          <t>I</t>
        </is>
      </c>
      <c r="B38" s="8" t="inlineStr">
        <is>
          <t>Norway</t>
        </is>
      </c>
      <c r="C38" s="12" t="n">
        <v>1929</v>
      </c>
      <c r="D38" s="9" t="n">
        <v>0.182</v>
      </c>
      <c r="E38" s="9" t="n">
        <v>0.5062</v>
      </c>
      <c r="F38" s="9" t="n">
        <v>0.8076</v>
      </c>
      <c r="G38" s="9" t="n">
        <v>0.1973</v>
      </c>
      <c r="H38" s="9" t="n">
        <v>0.3041</v>
      </c>
      <c r="I38" s="7" t="n">
        <v>5.0791</v>
      </c>
      <c r="J38" s="9" t="n">
        <v>0.07770000000000001</v>
      </c>
      <c r="K38" s="9" t="n">
        <v>0.4232</v>
      </c>
      <c r="L38" s="9" t="n">
        <v>0.4247</v>
      </c>
      <c r="M38" s="9" t="n">
        <v>0.07439999999999999</v>
      </c>
      <c r="N38" s="9" t="n">
        <v>0.0089</v>
      </c>
      <c r="O38" s="9" t="n">
        <v>0.032</v>
      </c>
      <c r="P38" s="9" t="n">
        <v>0.0298</v>
      </c>
      <c r="Q38" s="9" t="n">
        <v>0.1502</v>
      </c>
      <c r="R38" s="9" t="n">
        <v>0.2171</v>
      </c>
      <c r="S38" s="9" t="n">
        <v>0.0629</v>
      </c>
      <c r="T38" s="9" t="n">
        <v>0.2881</v>
      </c>
      <c r="U38" s="9" t="n">
        <v>0.1366</v>
      </c>
      <c r="V38" s="9" t="n">
        <v>0</v>
      </c>
      <c r="W38" s="9" t="n">
        <v>0.07439999999999999</v>
      </c>
    </row>
    <row r="39">
      <c r="A39" s="8" t="inlineStr">
        <is>
          <t>J</t>
        </is>
      </c>
      <c r="B39" s="8" t="inlineStr">
        <is>
          <t>Argentina</t>
        </is>
      </c>
      <c r="C39" s="12" t="n">
        <v>2128</v>
      </c>
      <c r="D39" s="9" t="n">
        <v>0.8333</v>
      </c>
      <c r="E39" s="9" t="n">
        <v>0.7444</v>
      </c>
      <c r="F39" s="9" t="n">
        <v>0.8984</v>
      </c>
      <c r="G39" s="9" t="n">
        <v>0.1216</v>
      </c>
      <c r="H39" s="9" t="n">
        <v>0.053</v>
      </c>
      <c r="I39" s="7" t="n">
        <v>7.7934</v>
      </c>
      <c r="J39" s="9" t="n">
        <v>0.0043</v>
      </c>
      <c r="K39" s="9" t="n">
        <v>0.0725</v>
      </c>
      <c r="L39" s="9" t="n">
        <v>0.3658</v>
      </c>
      <c r="M39" s="9" t="n">
        <v>0.5573</v>
      </c>
      <c r="N39" s="9" t="n">
        <v>0.0001</v>
      </c>
      <c r="O39" s="9" t="n">
        <v>0.0007</v>
      </c>
      <c r="P39" s="9" t="n">
        <v>0.0019</v>
      </c>
      <c r="Q39" s="9" t="n">
        <v>0.0077</v>
      </c>
      <c r="R39" s="9" t="n">
        <v>0.0304</v>
      </c>
      <c r="S39" s="9" t="n">
        <v>0.036</v>
      </c>
      <c r="T39" s="9" t="n">
        <v>0.1126</v>
      </c>
      <c r="U39" s="9" t="n">
        <v>0.2532</v>
      </c>
      <c r="V39" s="9" t="n">
        <v>0</v>
      </c>
      <c r="W39" s="9" t="n">
        <v>0.5573</v>
      </c>
    </row>
    <row r="40">
      <c r="A40" s="8" t="inlineStr">
        <is>
          <t>J</t>
        </is>
      </c>
      <c r="B40" s="8" t="inlineStr">
        <is>
          <t>Algeria</t>
        </is>
      </c>
      <c r="C40" s="12" t="n">
        <v>1759</v>
      </c>
      <c r="D40" s="9" t="n">
        <v>0.0469</v>
      </c>
      <c r="E40" s="9" t="n">
        <v>0.2433</v>
      </c>
      <c r="F40" s="9" t="n">
        <v>0.53</v>
      </c>
      <c r="G40" s="9" t="n">
        <v>0.1981</v>
      </c>
      <c r="H40" s="9" t="n">
        <v>0.5285</v>
      </c>
      <c r="I40" s="7" t="n">
        <v>3.0548</v>
      </c>
      <c r="J40" s="9" t="n">
        <v>0.339</v>
      </c>
      <c r="K40" s="9" t="n">
        <v>0.5079</v>
      </c>
      <c r="L40" s="9" t="n">
        <v>0.1471</v>
      </c>
      <c r="M40" s="9" t="n">
        <v>0.006</v>
      </c>
      <c r="N40" s="9" t="n">
        <v>0.101</v>
      </c>
      <c r="O40" s="9" t="n">
        <v>0.1629</v>
      </c>
      <c r="P40" s="9" t="n">
        <v>0.0683</v>
      </c>
      <c r="Q40" s="9" t="n">
        <v>0.2887</v>
      </c>
      <c r="R40" s="9" t="n">
        <v>0.2013</v>
      </c>
      <c r="S40" s="9" t="n">
        <v>0.0247</v>
      </c>
      <c r="T40" s="9" t="n">
        <v>0.123</v>
      </c>
      <c r="U40" s="9" t="n">
        <v>0.0241</v>
      </c>
      <c r="V40" s="9" t="n">
        <v>0</v>
      </c>
      <c r="W40" s="9" t="n">
        <v>0.006</v>
      </c>
    </row>
    <row r="41">
      <c r="A41" s="8" t="inlineStr">
        <is>
          <t>J</t>
        </is>
      </c>
      <c r="B41" s="8" t="inlineStr">
        <is>
          <t>Austria</t>
        </is>
      </c>
      <c r="C41" s="12" t="n">
        <v>1857</v>
      </c>
      <c r="D41" s="9" t="n">
        <v>0.0917</v>
      </c>
      <c r="E41" s="9" t="n">
        <v>0.5181</v>
      </c>
      <c r="F41" s="9" t="n">
        <v>0.6661</v>
      </c>
      <c r="G41" s="9" t="n">
        <v>0.1994</v>
      </c>
      <c r="H41" s="9" t="n">
        <v>0.3753</v>
      </c>
      <c r="I41" s="7" t="n">
        <v>4.4259</v>
      </c>
      <c r="J41" s="9" t="n">
        <v>0.1461</v>
      </c>
      <c r="K41" s="9" t="n">
        <v>0.4634</v>
      </c>
      <c r="L41" s="9" t="n">
        <v>0.3588</v>
      </c>
      <c r="M41" s="9" t="n">
        <v>0.0316</v>
      </c>
      <c r="N41" s="9" t="n">
        <v>0.025</v>
      </c>
      <c r="O41" s="9" t="n">
        <v>0.0655</v>
      </c>
      <c r="P41" s="9" t="n">
        <v>0.048</v>
      </c>
      <c r="Q41" s="9" t="n">
        <v>0.1847</v>
      </c>
      <c r="R41" s="9" t="n">
        <v>0.2394</v>
      </c>
      <c r="S41" s="9" t="n">
        <v>0.0469</v>
      </c>
      <c r="T41" s="9" t="n">
        <v>0.2783</v>
      </c>
      <c r="U41" s="9" t="n">
        <v>0.0804</v>
      </c>
      <c r="V41" s="9" t="n">
        <v>0</v>
      </c>
      <c r="W41" s="9" t="n">
        <v>0.0316</v>
      </c>
    </row>
    <row r="42">
      <c r="A42" s="8" t="inlineStr">
        <is>
          <t>J</t>
        </is>
      </c>
      <c r="B42" s="8" t="inlineStr">
        <is>
          <t>Jordan</t>
        </is>
      </c>
      <c r="C42" s="12" t="n">
        <v>1653</v>
      </c>
      <c r="D42" s="9" t="n">
        <v>0.0204</v>
      </c>
      <c r="E42" s="9" t="n">
        <v>0.234</v>
      </c>
      <c r="F42" s="9" t="n">
        <v>0.1383</v>
      </c>
      <c r="G42" s="9" t="n">
        <v>0.1709</v>
      </c>
      <c r="H42" s="9" t="n">
        <v>0.6982</v>
      </c>
      <c r="I42" s="7" t="n">
        <v>1.6908</v>
      </c>
      <c r="J42" s="9" t="n">
        <v>0.6466</v>
      </c>
      <c r="K42" s="9" t="n">
        <v>0.3148</v>
      </c>
      <c r="L42" s="9" t="n">
        <v>0.038</v>
      </c>
      <c r="M42" s="9" t="n">
        <v>0.0007</v>
      </c>
      <c r="N42" s="9" t="n">
        <v>0.3172</v>
      </c>
      <c r="O42" s="9" t="n">
        <v>0.263</v>
      </c>
      <c r="P42" s="9" t="n">
        <v>0.0626</v>
      </c>
      <c r="Q42" s="9" t="n">
        <v>0.2169</v>
      </c>
      <c r="R42" s="9" t="n">
        <v>0.0944</v>
      </c>
      <c r="S42" s="9" t="n">
        <v>0.0073</v>
      </c>
      <c r="T42" s="9" t="n">
        <v>0.0337</v>
      </c>
      <c r="U42" s="9" t="n">
        <v>0.0042</v>
      </c>
      <c r="V42" s="9" t="n">
        <v>0</v>
      </c>
      <c r="W42" s="9" t="n">
        <v>0.0007</v>
      </c>
    </row>
    <row r="43">
      <c r="A43" s="8" t="inlineStr">
        <is>
          <t>K</t>
        </is>
      </c>
      <c r="B43" s="8" t="inlineStr">
        <is>
          <t>Portugal</t>
        </is>
      </c>
      <c r="C43" s="12" t="n">
        <v>1989</v>
      </c>
      <c r="D43" s="9" t="n">
        <v>0.8076</v>
      </c>
      <c r="E43" s="9" t="n">
        <v>0.7486</v>
      </c>
      <c r="F43" s="9" t="n">
        <v>0.3813</v>
      </c>
      <c r="G43" s="9" t="n">
        <v>0.1844</v>
      </c>
      <c r="H43" s="9" t="n">
        <v>0.1698</v>
      </c>
      <c r="I43" s="7" t="n">
        <v>6.3656</v>
      </c>
      <c r="J43" s="9" t="n">
        <v>0.0299</v>
      </c>
      <c r="K43" s="9" t="n">
        <v>0.2332</v>
      </c>
      <c r="L43" s="9" t="n">
        <v>0.5064</v>
      </c>
      <c r="M43" s="9" t="n">
        <v>0.2305</v>
      </c>
      <c r="N43" s="9" t="n">
        <v>0.0019</v>
      </c>
      <c r="O43" s="9" t="n">
        <v>0.0091</v>
      </c>
      <c r="P43" s="9" t="n">
        <v>0.0133</v>
      </c>
      <c r="Q43" s="9" t="n">
        <v>0.0496</v>
      </c>
      <c r="R43" s="9" t="n">
        <v>0.1215</v>
      </c>
      <c r="S43" s="9" t="n">
        <v>0.0677</v>
      </c>
      <c r="T43" s="9" t="n">
        <v>0.2626</v>
      </c>
      <c r="U43" s="9" t="n">
        <v>0.2438</v>
      </c>
      <c r="V43" s="9" t="n">
        <v>0</v>
      </c>
      <c r="W43" s="9" t="n">
        <v>0.2305</v>
      </c>
    </row>
    <row r="44">
      <c r="A44" s="8" t="inlineStr">
        <is>
          <t>K</t>
        </is>
      </c>
      <c r="B44" s="8" t="inlineStr">
        <is>
          <t>DR Congo</t>
        </is>
      </c>
      <c r="C44" s="12" t="n">
        <v>1652</v>
      </c>
      <c r="D44" s="9" t="n">
        <v>0.0589</v>
      </c>
      <c r="E44" s="9" t="n">
        <v>0.2874</v>
      </c>
      <c r="F44" s="9" t="n">
        <v>0.0618</v>
      </c>
      <c r="G44" s="9" t="n">
        <v>0.1729</v>
      </c>
      <c r="H44" s="9" t="n">
        <v>0.6909999999999999</v>
      </c>
      <c r="I44" s="7" t="n">
        <v>1.7431</v>
      </c>
      <c r="J44" s="9" t="n">
        <v>0.6292</v>
      </c>
      <c r="K44" s="9" t="n">
        <v>0.3346</v>
      </c>
      <c r="L44" s="9" t="n">
        <v>0.0352</v>
      </c>
      <c r="M44" s="9" t="n">
        <v>0.001</v>
      </c>
      <c r="N44" s="9" t="n">
        <v>0.3003</v>
      </c>
      <c r="O44" s="9" t="n">
        <v>0.2618</v>
      </c>
      <c r="P44" s="9" t="n">
        <v>0.0625</v>
      </c>
      <c r="Q44" s="9" t="n">
        <v>0.2356</v>
      </c>
      <c r="R44" s="9" t="n">
        <v>0.09420000000000001</v>
      </c>
      <c r="S44" s="9" t="n">
        <v>0.009299999999999999</v>
      </c>
      <c r="T44" s="9" t="n">
        <v>0.0296</v>
      </c>
      <c r="U44" s="9" t="n">
        <v>0.0056</v>
      </c>
      <c r="V44" s="9" t="n">
        <v>0</v>
      </c>
      <c r="W44" s="9" t="n">
        <v>0.001</v>
      </c>
    </row>
    <row r="45">
      <c r="A45" s="8" t="inlineStr">
        <is>
          <t>K</t>
        </is>
      </c>
      <c r="B45" s="8" t="inlineStr">
        <is>
          <t>Uzbekistan</t>
        </is>
      </c>
      <c r="C45" s="12" t="n">
        <v>1714</v>
      </c>
      <c r="D45" s="9" t="n">
        <v>0.08939999999999999</v>
      </c>
      <c r="E45" s="9" t="n">
        <v>0.464</v>
      </c>
      <c r="F45" s="9" t="n">
        <v>0.0935</v>
      </c>
      <c r="G45" s="9" t="n">
        <v>0.192</v>
      </c>
      <c r="H45" s="9" t="n">
        <v>0.5924</v>
      </c>
      <c r="I45" s="7" t="n">
        <v>2.5164</v>
      </c>
      <c r="J45" s="9" t="n">
        <v>0.4425</v>
      </c>
      <c r="K45" s="9" t="n">
        <v>0.4721</v>
      </c>
      <c r="L45" s="9" t="n">
        <v>0.08160000000000001</v>
      </c>
      <c r="M45" s="9" t="n">
        <v>0.0039</v>
      </c>
      <c r="N45" s="9" t="n">
        <v>0.1595</v>
      </c>
      <c r="O45" s="9" t="n">
        <v>0.2081</v>
      </c>
      <c r="P45" s="9" t="n">
        <v>0.0683</v>
      </c>
      <c r="Q45" s="9" t="n">
        <v>0.3032</v>
      </c>
      <c r="R45" s="9" t="n">
        <v>0.1556</v>
      </c>
      <c r="S45" s="9" t="n">
        <v>0.0199</v>
      </c>
      <c r="T45" s="9" t="n">
        <v>0.06560000000000001</v>
      </c>
      <c r="U45" s="9" t="n">
        <v>0.016</v>
      </c>
      <c r="V45" s="9" t="n">
        <v>0</v>
      </c>
      <c r="W45" s="9" t="n">
        <v>0.0039</v>
      </c>
    </row>
    <row r="46">
      <c r="A46" s="8" t="inlineStr">
        <is>
          <t>K</t>
        </is>
      </c>
      <c r="B46" s="8" t="inlineStr">
        <is>
          <t>Colombia</t>
        </is>
      </c>
      <c r="C46" s="12" t="n">
        <v>1982</v>
      </c>
      <c r="D46" s="9" t="n">
        <v>0.3611</v>
      </c>
      <c r="E46" s="9" t="n">
        <v>0.8015</v>
      </c>
      <c r="F46" s="9" t="n">
        <v>0.7412</v>
      </c>
      <c r="G46" s="9" t="n">
        <v>0.1865</v>
      </c>
      <c r="H46" s="9" t="n">
        <v>0.1789</v>
      </c>
      <c r="I46" s="7" t="n">
        <v>6.2711</v>
      </c>
      <c r="J46" s="9" t="n">
        <v>0.0328</v>
      </c>
      <c r="K46" s="9" t="n">
        <v>0.2451</v>
      </c>
      <c r="L46" s="9" t="n">
        <v>0.5076000000000001</v>
      </c>
      <c r="M46" s="9" t="n">
        <v>0.2145</v>
      </c>
      <c r="N46" s="9" t="n">
        <v>0.0022</v>
      </c>
      <c r="O46" s="9" t="n">
        <v>0.0103</v>
      </c>
      <c r="P46" s="9" t="n">
        <v>0.0145</v>
      </c>
      <c r="Q46" s="9" t="n">
        <v>0.0539</v>
      </c>
      <c r="R46" s="9" t="n">
        <v>0.1285</v>
      </c>
      <c r="S46" s="9" t="n">
        <v>0.0684</v>
      </c>
      <c r="T46" s="9" t="n">
        <v>0.2701</v>
      </c>
      <c r="U46" s="9" t="n">
        <v>0.2375</v>
      </c>
      <c r="V46" s="9" t="n">
        <v>0</v>
      </c>
      <c r="W46" s="9" t="n">
        <v>0.2145</v>
      </c>
    </row>
    <row r="47">
      <c r="A47" s="8" t="inlineStr">
        <is>
          <t>L</t>
        </is>
      </c>
      <c r="B47" s="8" t="inlineStr">
        <is>
          <t>England</t>
        </is>
      </c>
      <c r="C47" s="12" t="n">
        <v>2024</v>
      </c>
      <c r="D47" s="9" t="n">
        <v>0.5389</v>
      </c>
      <c r="E47" s="9" t="n">
        <v>0.9157999999999999</v>
      </c>
      <c r="F47" s="9" t="n">
        <v>0.768</v>
      </c>
      <c r="G47" s="9" t="n">
        <v>0.1522</v>
      </c>
      <c r="H47" s="9" t="n">
        <v>0.1069</v>
      </c>
      <c r="I47" s="7" t="n">
        <v>7.1248</v>
      </c>
      <c r="J47" s="9" t="n">
        <v>0.008999999999999999</v>
      </c>
      <c r="K47" s="9" t="n">
        <v>0.1383</v>
      </c>
      <c r="L47" s="9" t="n">
        <v>0.4737</v>
      </c>
      <c r="M47" s="9" t="n">
        <v>0.379</v>
      </c>
      <c r="N47" s="9" t="n">
        <v>0.0003</v>
      </c>
      <c r="O47" s="9" t="n">
        <v>0.002</v>
      </c>
      <c r="P47" s="9" t="n">
        <v>0.0042</v>
      </c>
      <c r="Q47" s="9" t="n">
        <v>0.0221</v>
      </c>
      <c r="R47" s="9" t="n">
        <v>0.0677</v>
      </c>
      <c r="S47" s="9" t="n">
        <v>0.0511</v>
      </c>
      <c r="T47" s="9" t="n">
        <v>0.2048</v>
      </c>
      <c r="U47" s="9" t="n">
        <v>0.2689</v>
      </c>
      <c r="V47" s="9" t="n">
        <v>0</v>
      </c>
      <c r="W47" s="9" t="n">
        <v>0.379</v>
      </c>
    </row>
    <row r="48">
      <c r="A48" s="8" t="inlineStr">
        <is>
          <t>L</t>
        </is>
      </c>
      <c r="B48" s="8" t="inlineStr">
        <is>
          <t>Croatia</t>
        </is>
      </c>
      <c r="C48" s="12" t="n">
        <v>1912</v>
      </c>
      <c r="D48" s="9" t="n">
        <v>0.2272</v>
      </c>
      <c r="E48" s="9" t="n">
        <v>0.8567</v>
      </c>
      <c r="F48" s="9" t="n">
        <v>0.6375</v>
      </c>
      <c r="G48" s="9" t="n">
        <v>0.1821</v>
      </c>
      <c r="H48" s="9" t="n">
        <v>0.2441</v>
      </c>
      <c r="I48" s="7" t="n">
        <v>5.7105</v>
      </c>
      <c r="J48" s="9" t="n">
        <v>0.0401</v>
      </c>
      <c r="K48" s="9" t="n">
        <v>0.3224</v>
      </c>
      <c r="L48" s="9" t="n">
        <v>0.5134</v>
      </c>
      <c r="M48" s="9" t="n">
        <v>0.1241</v>
      </c>
      <c r="N48" s="9" t="n">
        <v>0.0031</v>
      </c>
      <c r="O48" s="9" t="n">
        <v>0.0144</v>
      </c>
      <c r="P48" s="9" t="n">
        <v>0.0175</v>
      </c>
      <c r="Q48" s="9" t="n">
        <v>0.0914</v>
      </c>
      <c r="R48" s="9" t="n">
        <v>0.174</v>
      </c>
      <c r="S48" s="9" t="n">
        <v>0.0621</v>
      </c>
      <c r="T48" s="9" t="n">
        <v>0.3302</v>
      </c>
      <c r="U48" s="9" t="n">
        <v>0.1832</v>
      </c>
      <c r="V48" s="9" t="n">
        <v>0</v>
      </c>
      <c r="W48" s="9" t="n">
        <v>0.1241</v>
      </c>
    </row>
    <row r="49">
      <c r="A49" s="8" t="inlineStr">
        <is>
          <t>L</t>
        </is>
      </c>
      <c r="B49" s="8" t="inlineStr">
        <is>
          <t>Ghana</t>
        </is>
      </c>
      <c r="C49" s="12" t="n">
        <v>1510</v>
      </c>
      <c r="D49" s="9" t="n">
        <v>0.0145</v>
      </c>
      <c r="E49" s="9" t="n">
        <v>0.0366</v>
      </c>
      <c r="F49" s="9" t="n">
        <v>0.1258</v>
      </c>
      <c r="G49" s="9" t="n">
        <v>0.1215</v>
      </c>
      <c r="H49" s="9" t="n">
        <v>0.8195</v>
      </c>
      <c r="I49" s="7" t="n">
        <v>0.8952</v>
      </c>
      <c r="J49" s="9" t="n">
        <v>0.83</v>
      </c>
      <c r="K49" s="9" t="n">
        <v>0.1632</v>
      </c>
      <c r="L49" s="9" t="n">
        <v>0.0068</v>
      </c>
      <c r="M49" s="9" t="n">
        <v>0.0001</v>
      </c>
      <c r="N49" s="9" t="n">
        <v>0.5383</v>
      </c>
      <c r="O49" s="9" t="n">
        <v>0.2556</v>
      </c>
      <c r="P49" s="9" t="n">
        <v>0.0347</v>
      </c>
      <c r="Q49" s="9" t="n">
        <v>0.1316</v>
      </c>
      <c r="R49" s="9" t="n">
        <v>0.0313</v>
      </c>
      <c r="S49" s="9" t="n">
        <v>0.0017</v>
      </c>
      <c r="T49" s="9" t="n">
        <v>0.0061</v>
      </c>
      <c r="U49" s="9" t="n">
        <v>0.0005999999999999999</v>
      </c>
      <c r="V49" s="9" t="n">
        <v>0</v>
      </c>
      <c r="W49" s="9" t="n">
        <v>0.0001</v>
      </c>
    </row>
    <row r="50">
      <c r="A50" s="8" t="inlineStr">
        <is>
          <t>L</t>
        </is>
      </c>
      <c r="B50" s="8" t="inlineStr">
        <is>
          <t>Panama</t>
        </is>
      </c>
      <c r="C50" s="12" t="n">
        <v>1730</v>
      </c>
      <c r="D50" s="9" t="n">
        <v>0.0789</v>
      </c>
      <c r="E50" s="9" t="n">
        <v>0.1569</v>
      </c>
      <c r="F50" s="9" t="n">
        <v>0.6861</v>
      </c>
      <c r="G50" s="9" t="n">
        <v>0.1823</v>
      </c>
      <c r="H50" s="9" t="n">
        <v>0.5104</v>
      </c>
      <c r="I50" s="7" t="n">
        <v>3.3124</v>
      </c>
      <c r="J50" s="9" t="n">
        <v>0.2438</v>
      </c>
      <c r="K50" s="9" t="n">
        <v>0.599</v>
      </c>
      <c r="L50" s="9" t="n">
        <v>0.1487</v>
      </c>
      <c r="M50" s="9" t="n">
        <v>0.008500000000000001</v>
      </c>
      <c r="N50" s="9" t="n">
        <v>0.0616</v>
      </c>
      <c r="O50" s="9" t="n">
        <v>0.1243</v>
      </c>
      <c r="P50" s="9" t="n">
        <v>0.052</v>
      </c>
      <c r="Q50" s="9" t="n">
        <v>0.3633</v>
      </c>
      <c r="R50" s="9" t="n">
        <v>0.2125</v>
      </c>
      <c r="S50" s="9" t="n">
        <v>0.0292</v>
      </c>
      <c r="T50" s="9" t="n">
        <v>0.1187</v>
      </c>
      <c r="U50" s="9" t="n">
        <v>0.0299</v>
      </c>
      <c r="V50" s="9" t="n">
        <v>0</v>
      </c>
      <c r="W50" s="9" t="n">
        <v>0.008500000000000001</v>
      </c>
    </row>
  </sheetData>
  <mergeCells count="1">
    <mergeCell ref="A1:W1"/>
  </mergeCells>
  <conditionalFormatting sqref="M3:M50">
    <cfRule type="colorScale" priority="1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W3:W50">
    <cfRule type="colorScale" priority="2">
      <colorScale>
        <cfvo type="min"/>
        <cfvo type="percentile" val="55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1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</cols>
  <sheetData>
    <row r="1" ht="22" customHeight="1">
      <c r="A1" s="10" t="inlineStr">
        <is>
          <t>GROUP-STAGE MATCH MATRIX — 72 fixtures (W/D/L probabilities and expected goals)</t>
        </is>
      </c>
    </row>
    <row r="2">
      <c r="A2" s="6" t="inlineStr">
        <is>
          <t>Grp</t>
        </is>
      </c>
      <c r="B2" s="6" t="inlineStr">
        <is>
          <t>Team A</t>
        </is>
      </c>
      <c r="C2" s="6" t="inlineStr">
        <is>
          <t>Team B</t>
        </is>
      </c>
      <c r="D2" s="6" t="inlineStr">
        <is>
          <t>P(A win)</t>
        </is>
      </c>
      <c r="E2" s="6" t="inlineStr">
        <is>
          <t>P(draw)</t>
        </is>
      </c>
      <c r="F2" s="6" t="inlineStr">
        <is>
          <t>P(B win)</t>
        </is>
      </c>
      <c r="G2" s="6" t="inlineStr">
        <is>
          <t>xG A</t>
        </is>
      </c>
      <c r="H2" s="6" t="inlineStr">
        <is>
          <t>xG B</t>
        </is>
      </c>
    </row>
    <row r="3">
      <c r="A3" s="8" t="inlineStr">
        <is>
          <t>A</t>
        </is>
      </c>
      <c r="B3" s="8" t="inlineStr">
        <is>
          <t>Mexico</t>
        </is>
      </c>
      <c r="C3" s="7" t="inlineStr">
        <is>
          <t>South Africa</t>
        </is>
      </c>
      <c r="D3" s="9" t="n">
        <v>0.8772</v>
      </c>
      <c r="E3" s="9" t="n">
        <v>0.0945</v>
      </c>
      <c r="F3" s="9" t="n">
        <v>0.0283</v>
      </c>
      <c r="G3" s="7" t="n">
        <v>2.852</v>
      </c>
      <c r="H3" s="7" t="n">
        <v>0.37</v>
      </c>
    </row>
    <row r="4">
      <c r="A4" s="8" t="inlineStr">
        <is>
          <t>A</t>
        </is>
      </c>
      <c r="B4" s="8" t="inlineStr">
        <is>
          <t>Mexico</t>
        </is>
      </c>
      <c r="C4" s="7" t="inlineStr">
        <is>
          <t>South Korea</t>
        </is>
      </c>
      <c r="D4" s="9" t="n">
        <v>0.6076</v>
      </c>
      <c r="E4" s="9" t="n">
        <v>0.2152</v>
      </c>
      <c r="F4" s="9" t="n">
        <v>0.1771</v>
      </c>
      <c r="G4" s="7" t="n">
        <v>1.947</v>
      </c>
      <c r="H4" s="7" t="n">
        <v>0.945</v>
      </c>
    </row>
    <row r="5">
      <c r="A5" s="8" t="inlineStr">
        <is>
          <t>A</t>
        </is>
      </c>
      <c r="B5" s="8" t="inlineStr">
        <is>
          <t>Mexico</t>
        </is>
      </c>
      <c r="C5" s="7" t="inlineStr">
        <is>
          <t>Czech Republic</t>
        </is>
      </c>
      <c r="D5" s="9" t="n">
        <v>0.7029</v>
      </c>
      <c r="E5" s="9" t="n">
        <v>0.1815</v>
      </c>
      <c r="F5" s="9" t="n">
        <v>0.1156</v>
      </c>
      <c r="G5" s="7" t="n">
        <v>2.212</v>
      </c>
      <c r="H5" s="7" t="n">
        <v>0.769</v>
      </c>
    </row>
    <row r="6">
      <c r="A6" s="8" t="inlineStr">
        <is>
          <t>A</t>
        </is>
      </c>
      <c r="B6" s="8" t="inlineStr">
        <is>
          <t>South Africa</t>
        </is>
      </c>
      <c r="C6" s="7" t="inlineStr">
        <is>
          <t>South Korea</t>
        </is>
      </c>
      <c r="D6" s="9" t="n">
        <v>0.08939999999999999</v>
      </c>
      <c r="E6" s="9" t="n">
        <v>0.162</v>
      </c>
      <c r="F6" s="9" t="n">
        <v>0.7486</v>
      </c>
      <c r="G6" s="7" t="n">
        <v>0.677</v>
      </c>
      <c r="H6" s="7" t="n">
        <v>2.353</v>
      </c>
    </row>
    <row r="7">
      <c r="A7" s="8" t="inlineStr">
        <is>
          <t>A</t>
        </is>
      </c>
      <c r="B7" s="8" t="inlineStr">
        <is>
          <t>South Africa</t>
        </is>
      </c>
      <c r="C7" s="7" t="inlineStr">
        <is>
          <t>Czech Republic</t>
        </is>
      </c>
      <c r="D7" s="9" t="n">
        <v>0.1407</v>
      </c>
      <c r="E7" s="9" t="n">
        <v>0.197</v>
      </c>
      <c r="F7" s="9" t="n">
        <v>0.6623</v>
      </c>
      <c r="G7" s="7" t="n">
        <v>0.846</v>
      </c>
      <c r="H7" s="7" t="n">
        <v>2.095</v>
      </c>
    </row>
    <row r="8">
      <c r="A8" s="8" t="inlineStr">
        <is>
          <t>A</t>
        </is>
      </c>
      <c r="B8" s="8" t="inlineStr">
        <is>
          <t>South Korea</t>
        </is>
      </c>
      <c r="C8" s="7" t="inlineStr">
        <is>
          <t>Czech Republic</t>
        </is>
      </c>
      <c r="D8" s="9" t="n">
        <v>0.4821</v>
      </c>
      <c r="E8" s="9" t="n">
        <v>0.2457</v>
      </c>
      <c r="F8" s="9" t="n">
        <v>0.2723</v>
      </c>
      <c r="G8" s="7" t="n">
        <v>1.627</v>
      </c>
      <c r="H8" s="7" t="n">
        <v>1.161</v>
      </c>
    </row>
    <row r="9">
      <c r="A9" s="8" t="inlineStr">
        <is>
          <t>B</t>
        </is>
      </c>
      <c r="B9" s="8" t="inlineStr">
        <is>
          <t>Canada</t>
        </is>
      </c>
      <c r="C9" s="7" t="inlineStr">
        <is>
          <t>Bosnia and Herzegovina</t>
        </is>
      </c>
      <c r="D9" s="9" t="n">
        <v>0.6811</v>
      </c>
      <c r="E9" s="9" t="n">
        <v>0.19</v>
      </c>
      <c r="F9" s="9" t="n">
        <v>0.1288</v>
      </c>
      <c r="G9" s="7" t="n">
        <v>2.149</v>
      </c>
      <c r="H9" s="7" t="n">
        <v>0.8110000000000001</v>
      </c>
    </row>
    <row r="10">
      <c r="A10" s="8" t="inlineStr">
        <is>
          <t>B</t>
        </is>
      </c>
      <c r="B10" s="8" t="inlineStr">
        <is>
          <t>Canada</t>
        </is>
      </c>
      <c r="C10" s="7" t="inlineStr">
        <is>
          <t>Qatar</t>
        </is>
      </c>
      <c r="D10" s="9" t="n">
        <v>0.845</v>
      </c>
      <c r="E10" s="9" t="n">
        <v>0.1133</v>
      </c>
      <c r="F10" s="9" t="n">
        <v>0.0416</v>
      </c>
      <c r="G10" s="7" t="n">
        <v>2.705</v>
      </c>
      <c r="H10" s="7" t="n">
        <v>0.457</v>
      </c>
    </row>
    <row r="11">
      <c r="A11" s="8" t="inlineStr">
        <is>
          <t>B</t>
        </is>
      </c>
      <c r="B11" s="8" t="inlineStr">
        <is>
          <t>Canada</t>
        </is>
      </c>
      <c r="C11" s="7" t="inlineStr">
        <is>
          <t>Switzerland</t>
        </is>
      </c>
      <c r="D11" s="9" t="n">
        <v>0.3254</v>
      </c>
      <c r="E11" s="9" t="n">
        <v>0.2544</v>
      </c>
      <c r="F11" s="9" t="n">
        <v>0.4201</v>
      </c>
      <c r="G11" s="7" t="n">
        <v>1.266</v>
      </c>
      <c r="H11" s="7" t="n">
        <v>1.473</v>
      </c>
    </row>
    <row r="12">
      <c r="A12" s="8" t="inlineStr">
        <is>
          <t>B</t>
        </is>
      </c>
      <c r="B12" s="8" t="inlineStr">
        <is>
          <t>Bosnia and Herzegovina</t>
        </is>
      </c>
      <c r="C12" s="7" t="inlineStr">
        <is>
          <t>Qatar</t>
        </is>
      </c>
      <c r="D12" s="9" t="n">
        <v>0.62</v>
      </c>
      <c r="E12" s="9" t="n">
        <v>0.2114</v>
      </c>
      <c r="F12" s="9" t="n">
        <v>0.1686</v>
      </c>
      <c r="G12" s="7" t="n">
        <v>1.98</v>
      </c>
      <c r="H12" s="7" t="n">
        <v>0.923</v>
      </c>
    </row>
    <row r="13">
      <c r="A13" s="8" t="inlineStr">
        <is>
          <t>B</t>
        </is>
      </c>
      <c r="B13" s="8" t="inlineStr">
        <is>
          <t>Bosnia and Herzegovina</t>
        </is>
      </c>
      <c r="C13" s="7" t="inlineStr">
        <is>
          <t>Switzerland</t>
        </is>
      </c>
      <c r="D13" s="9" t="n">
        <v>0.1054</v>
      </c>
      <c r="E13" s="9" t="n">
        <v>0.1744</v>
      </c>
      <c r="F13" s="9" t="n">
        <v>0.7202</v>
      </c>
      <c r="G13" s="7" t="n">
        <v>0.735</v>
      </c>
      <c r="H13" s="7" t="n">
        <v>2.264</v>
      </c>
    </row>
    <row r="14">
      <c r="A14" s="8" t="inlineStr">
        <is>
          <t>B</t>
        </is>
      </c>
      <c r="B14" s="8" t="inlineStr">
        <is>
          <t>Qatar</t>
        </is>
      </c>
      <c r="C14" s="7" t="inlineStr">
        <is>
          <t>Switzerland</t>
        </is>
      </c>
      <c r="D14" s="9" t="n">
        <v>0.0324</v>
      </c>
      <c r="E14" s="9" t="n">
        <v>0.1006</v>
      </c>
      <c r="F14" s="9" t="n">
        <v>0.867</v>
      </c>
      <c r="G14" s="7" t="n">
        <v>0.399</v>
      </c>
      <c r="H14" s="7" t="n">
        <v>2.803</v>
      </c>
    </row>
    <row r="15">
      <c r="A15" s="8" t="inlineStr">
        <is>
          <t>C</t>
        </is>
      </c>
      <c r="B15" s="8" t="inlineStr">
        <is>
          <t>Brazil</t>
        </is>
      </c>
      <c r="C15" s="7" t="inlineStr">
        <is>
          <t>Morocco</t>
        </is>
      </c>
      <c r="D15" s="9" t="n">
        <v>0.5766</v>
      </c>
      <c r="E15" s="9" t="n">
        <v>0.2243</v>
      </c>
      <c r="F15" s="9" t="n">
        <v>0.1991</v>
      </c>
      <c r="G15" s="7" t="n">
        <v>1.866</v>
      </c>
      <c r="H15" s="7" t="n">
        <v>0.999</v>
      </c>
    </row>
    <row r="16">
      <c r="A16" s="8" t="inlineStr">
        <is>
          <t>C</t>
        </is>
      </c>
      <c r="B16" s="8" t="inlineStr">
        <is>
          <t>Brazil</t>
        </is>
      </c>
      <c r="C16" s="7" t="inlineStr">
        <is>
          <t>Haiti</t>
        </is>
      </c>
      <c r="D16" s="9" t="n">
        <v>0.8812</v>
      </c>
      <c r="E16" s="9" t="n">
        <v>0.092</v>
      </c>
      <c r="F16" s="9" t="n">
        <v>0.0268</v>
      </c>
      <c r="G16" s="7" t="n">
        <v>2.872</v>
      </c>
      <c r="H16" s="7" t="n">
        <v>0.359</v>
      </c>
    </row>
    <row r="17">
      <c r="A17" s="8" t="inlineStr">
        <is>
          <t>C</t>
        </is>
      </c>
      <c r="B17" s="8" t="inlineStr">
        <is>
          <t>Brazil</t>
        </is>
      </c>
      <c r="C17" s="7" t="inlineStr">
        <is>
          <t>Scotland</t>
        </is>
      </c>
      <c r="D17" s="9" t="n">
        <v>0.6402</v>
      </c>
      <c r="E17" s="9" t="n">
        <v>0.2047</v>
      </c>
      <c r="F17" s="9" t="n">
        <v>0.1551</v>
      </c>
      <c r="G17" s="7" t="n">
        <v>2.034</v>
      </c>
      <c r="H17" s="7" t="n">
        <v>0.887</v>
      </c>
    </row>
    <row r="18">
      <c r="A18" s="8" t="inlineStr">
        <is>
          <t>C</t>
        </is>
      </c>
      <c r="B18" s="8" t="inlineStr">
        <is>
          <t>Morocco</t>
        </is>
      </c>
      <c r="C18" s="7" t="inlineStr">
        <is>
          <t>Haiti</t>
        </is>
      </c>
      <c r="D18" s="9" t="n">
        <v>0.7776999999999999</v>
      </c>
      <c r="E18" s="9" t="n">
        <v>0.1484</v>
      </c>
      <c r="F18" s="9" t="n">
        <v>0.0738</v>
      </c>
      <c r="G18" s="7" t="n">
        <v>2.449</v>
      </c>
      <c r="H18" s="7" t="n">
        <v>0.616</v>
      </c>
    </row>
    <row r="19">
      <c r="A19" s="8" t="inlineStr">
        <is>
          <t>C</t>
        </is>
      </c>
      <c r="B19" s="8" t="inlineStr">
        <is>
          <t>Morocco</t>
        </is>
      </c>
      <c r="C19" s="7" t="inlineStr">
        <is>
          <t>Scotland</t>
        </is>
      </c>
      <c r="D19" s="9" t="n">
        <v>0.4398</v>
      </c>
      <c r="E19" s="9" t="n">
        <v>0.2521</v>
      </c>
      <c r="F19" s="9" t="n">
        <v>0.3081</v>
      </c>
      <c r="G19" s="7" t="n">
        <v>1.522</v>
      </c>
      <c r="H19" s="7" t="n">
        <v>1.233</v>
      </c>
    </row>
    <row r="20">
      <c r="A20" s="8" t="inlineStr">
        <is>
          <t>C</t>
        </is>
      </c>
      <c r="B20" s="8" t="inlineStr">
        <is>
          <t>Haiti</t>
        </is>
      </c>
      <c r="C20" s="7" t="inlineStr">
        <is>
          <t>Scotland</t>
        </is>
      </c>
      <c r="D20" s="9" t="n">
        <v>0.09959999999999999</v>
      </c>
      <c r="E20" s="9" t="n">
        <v>0.1701</v>
      </c>
      <c r="F20" s="9" t="n">
        <v>0.7302999999999999</v>
      </c>
      <c r="G20" s="7" t="n">
        <v>0.715</v>
      </c>
      <c r="H20" s="7" t="n">
        <v>2.295</v>
      </c>
    </row>
    <row r="21">
      <c r="A21" s="8" t="inlineStr">
        <is>
          <t>D</t>
        </is>
      </c>
      <c r="B21" s="8" t="inlineStr">
        <is>
          <t>United States</t>
        </is>
      </c>
      <c r="C21" s="7" t="inlineStr">
        <is>
          <t>Paraguay</t>
        </is>
      </c>
      <c r="D21" s="9" t="n">
        <v>0.4685</v>
      </c>
      <c r="E21" s="9" t="n">
        <v>0.2479</v>
      </c>
      <c r="F21" s="9" t="n">
        <v>0.2836</v>
      </c>
      <c r="G21" s="7" t="n">
        <v>1.594</v>
      </c>
      <c r="H21" s="7" t="n">
        <v>1.184</v>
      </c>
    </row>
    <row r="22">
      <c r="A22" s="8" t="inlineStr">
        <is>
          <t>D</t>
        </is>
      </c>
      <c r="B22" s="8" t="inlineStr">
        <is>
          <t>United States</t>
        </is>
      </c>
      <c r="C22" s="7" t="inlineStr">
        <is>
          <t>Australia</t>
        </is>
      </c>
      <c r="D22" s="9" t="n">
        <v>0.3798</v>
      </c>
      <c r="E22" s="9" t="n">
        <v>0.2577</v>
      </c>
      <c r="F22" s="9" t="n">
        <v>0.3625</v>
      </c>
      <c r="G22" s="7" t="n">
        <v>1.372</v>
      </c>
      <c r="H22" s="7" t="n">
        <v>1.335</v>
      </c>
    </row>
    <row r="23">
      <c r="A23" s="8" t="inlineStr">
        <is>
          <t>D</t>
        </is>
      </c>
      <c r="B23" s="8" t="inlineStr">
        <is>
          <t>United States</t>
        </is>
      </c>
      <c r="C23" s="7" t="inlineStr">
        <is>
          <t>Turkey</t>
        </is>
      </c>
      <c r="D23" s="9" t="n">
        <v>0.3653</v>
      </c>
      <c r="E23" s="9" t="n">
        <v>0.2579</v>
      </c>
      <c r="F23" s="9" t="n">
        <v>0.3768</v>
      </c>
      <c r="G23" s="7" t="n">
        <v>1.34</v>
      </c>
      <c r="H23" s="7" t="n">
        <v>1.365</v>
      </c>
    </row>
    <row r="24">
      <c r="A24" s="8" t="inlineStr">
        <is>
          <t>D</t>
        </is>
      </c>
      <c r="B24" s="8" t="inlineStr">
        <is>
          <t>Paraguay</t>
        </is>
      </c>
      <c r="C24" s="7" t="inlineStr">
        <is>
          <t>Australia</t>
        </is>
      </c>
      <c r="D24" s="9" t="n">
        <v>0.2912</v>
      </c>
      <c r="E24" s="9" t="n">
        <v>0.2494</v>
      </c>
      <c r="F24" s="9" t="n">
        <v>0.4594</v>
      </c>
      <c r="G24" s="7" t="n">
        <v>1.2</v>
      </c>
      <c r="H24" s="7" t="n">
        <v>1.571</v>
      </c>
    </row>
    <row r="25">
      <c r="A25" s="8" t="inlineStr">
        <is>
          <t>D</t>
        </is>
      </c>
      <c r="B25" s="8" t="inlineStr">
        <is>
          <t>Paraguay</t>
        </is>
      </c>
      <c r="C25" s="7" t="inlineStr">
        <is>
          <t>Turkey</t>
        </is>
      </c>
      <c r="D25" s="9" t="n">
        <v>0.2785</v>
      </c>
      <c r="E25" s="9" t="n">
        <v>0.247</v>
      </c>
      <c r="F25" s="9" t="n">
        <v>0.4745</v>
      </c>
      <c r="G25" s="7" t="n">
        <v>1.174</v>
      </c>
      <c r="H25" s="7" t="n">
        <v>1.609</v>
      </c>
    </row>
    <row r="26">
      <c r="A26" s="8" t="inlineStr">
        <is>
          <t>D</t>
        </is>
      </c>
      <c r="B26" s="8" t="inlineStr">
        <is>
          <t>Australia</t>
        </is>
      </c>
      <c r="C26" s="7" t="inlineStr">
        <is>
          <t>Turkey</t>
        </is>
      </c>
      <c r="D26" s="9" t="n">
        <v>0.3569</v>
      </c>
      <c r="E26" s="9" t="n">
        <v>0.2574</v>
      </c>
      <c r="F26" s="9" t="n">
        <v>0.3857</v>
      </c>
      <c r="G26" s="7" t="n">
        <v>1.325</v>
      </c>
      <c r="H26" s="7" t="n">
        <v>1.387</v>
      </c>
    </row>
    <row r="27">
      <c r="A27" s="8" t="inlineStr">
        <is>
          <t>E</t>
        </is>
      </c>
      <c r="B27" s="8" t="inlineStr">
        <is>
          <t>Germany</t>
        </is>
      </c>
      <c r="C27" s="7" t="inlineStr">
        <is>
          <t>Curacao</t>
        </is>
      </c>
      <c r="D27" s="9" t="n">
        <v>0.915</v>
      </c>
      <c r="E27" s="9" t="n">
        <v>0.0702</v>
      </c>
      <c r="F27" s="9" t="n">
        <v>0.0147</v>
      </c>
      <c r="G27" s="7" t="n">
        <v>3.063</v>
      </c>
      <c r="H27" s="7" t="n">
        <v>0.251</v>
      </c>
    </row>
    <row r="28">
      <c r="A28" s="8" t="inlineStr">
        <is>
          <t>E</t>
        </is>
      </c>
      <c r="B28" s="8" t="inlineStr">
        <is>
          <t>Germany</t>
        </is>
      </c>
      <c r="C28" s="7" t="inlineStr">
        <is>
          <t>Ivory Coast</t>
        </is>
      </c>
      <c r="D28" s="9" t="n">
        <v>0.6559</v>
      </c>
      <c r="E28" s="9" t="n">
        <v>0.1993</v>
      </c>
      <c r="F28" s="9" t="n">
        <v>0.1448</v>
      </c>
      <c r="G28" s="7" t="n">
        <v>2.077</v>
      </c>
      <c r="H28" s="7" t="n">
        <v>0.858</v>
      </c>
    </row>
    <row r="29">
      <c r="A29" s="8" t="inlineStr">
        <is>
          <t>E</t>
        </is>
      </c>
      <c r="B29" s="8" t="inlineStr">
        <is>
          <t>Germany</t>
        </is>
      </c>
      <c r="C29" s="7" t="inlineStr">
        <is>
          <t>Ecuador</t>
        </is>
      </c>
      <c r="D29" s="9" t="n">
        <v>0.4443</v>
      </c>
      <c r="E29" s="9" t="n">
        <v>0.2515</v>
      </c>
      <c r="F29" s="9" t="n">
        <v>0.3042</v>
      </c>
      <c r="G29" s="7" t="n">
        <v>1.533</v>
      </c>
      <c r="H29" s="7" t="n">
        <v>1.225</v>
      </c>
    </row>
    <row r="30">
      <c r="A30" s="8" t="inlineStr">
        <is>
          <t>E</t>
        </is>
      </c>
      <c r="B30" s="8" t="inlineStr">
        <is>
          <t>Curacao</t>
        </is>
      </c>
      <c r="C30" s="7" t="inlineStr">
        <is>
          <t>Ivory Coast</t>
        </is>
      </c>
      <c r="D30" s="9" t="n">
        <v>0.06809999999999999</v>
      </c>
      <c r="E30" s="9" t="n">
        <v>0.1429</v>
      </c>
      <c r="F30" s="9" t="n">
        <v>0.789</v>
      </c>
      <c r="G30" s="7" t="n">
        <v>0.591</v>
      </c>
      <c r="H30" s="7" t="n">
        <v>2.488</v>
      </c>
    </row>
    <row r="31">
      <c r="A31" s="8" t="inlineStr">
        <is>
          <t>E</t>
        </is>
      </c>
      <c r="B31" s="8" t="inlineStr">
        <is>
          <t>Curacao</t>
        </is>
      </c>
      <c r="C31" s="7" t="inlineStr">
        <is>
          <t>Ecuador</t>
        </is>
      </c>
      <c r="D31" s="9" t="n">
        <v>0.0226</v>
      </c>
      <c r="E31" s="9" t="n">
        <v>0.08500000000000001</v>
      </c>
      <c r="F31" s="9" t="n">
        <v>0.8925</v>
      </c>
      <c r="G31" s="7" t="n">
        <v>0.325</v>
      </c>
      <c r="H31" s="7" t="n">
        <v>2.931</v>
      </c>
    </row>
    <row r="32">
      <c r="A32" s="8" t="inlineStr">
        <is>
          <t>E</t>
        </is>
      </c>
      <c r="B32" s="8" t="inlineStr">
        <is>
          <t>Ivory Coast</t>
        </is>
      </c>
      <c r="C32" s="7" t="inlineStr">
        <is>
          <t>Ecuador</t>
        </is>
      </c>
      <c r="D32" s="9" t="n">
        <v>0.1899</v>
      </c>
      <c r="E32" s="9" t="n">
        <v>0.2206</v>
      </c>
      <c r="F32" s="9" t="n">
        <v>0.5894</v>
      </c>
      <c r="G32" s="7" t="n">
        <v>0.977</v>
      </c>
      <c r="H32" s="7" t="n">
        <v>1.899</v>
      </c>
    </row>
    <row r="33">
      <c r="A33" s="8" t="inlineStr">
        <is>
          <t>F</t>
        </is>
      </c>
      <c r="B33" s="8" t="inlineStr">
        <is>
          <t>Netherlands</t>
        </is>
      </c>
      <c r="C33" s="7" t="inlineStr">
        <is>
          <t>Japan</t>
        </is>
      </c>
      <c r="D33" s="9" t="n">
        <v>0.4216</v>
      </c>
      <c r="E33" s="9" t="n">
        <v>0.2543</v>
      </c>
      <c r="F33" s="9" t="n">
        <v>0.3241</v>
      </c>
      <c r="G33" s="7" t="n">
        <v>1.477</v>
      </c>
      <c r="H33" s="7" t="n">
        <v>1.264</v>
      </c>
    </row>
    <row r="34">
      <c r="A34" s="8" t="inlineStr">
        <is>
          <t>F</t>
        </is>
      </c>
      <c r="B34" s="8" t="inlineStr">
        <is>
          <t>Netherlands</t>
        </is>
      </c>
      <c r="C34" s="7" t="inlineStr">
        <is>
          <t>Sweden</t>
        </is>
      </c>
      <c r="D34" s="9" t="n">
        <v>0.6468</v>
      </c>
      <c r="E34" s="9" t="n">
        <v>0.2025</v>
      </c>
      <c r="F34" s="9" t="n">
        <v>0.1508</v>
      </c>
      <c r="G34" s="7" t="n">
        <v>2.052</v>
      </c>
      <c r="H34" s="7" t="n">
        <v>0.875</v>
      </c>
    </row>
    <row r="35">
      <c r="A35" s="8" t="inlineStr">
        <is>
          <t>F</t>
        </is>
      </c>
      <c r="B35" s="8" t="inlineStr">
        <is>
          <t>Netherlands</t>
        </is>
      </c>
      <c r="C35" s="7" t="inlineStr">
        <is>
          <t>Tunisia</t>
        </is>
      </c>
      <c r="D35" s="9" t="n">
        <v>0.8256</v>
      </c>
      <c r="E35" s="9" t="n">
        <v>0.124</v>
      </c>
      <c r="F35" s="9" t="n">
        <v>0.0504</v>
      </c>
      <c r="G35" s="7" t="n">
        <v>2.625</v>
      </c>
      <c r="H35" s="7" t="n">
        <v>0.506</v>
      </c>
    </row>
    <row r="36">
      <c r="A36" s="8" t="inlineStr">
        <is>
          <t>F</t>
        </is>
      </c>
      <c r="B36" s="8" t="inlineStr">
        <is>
          <t>Japan</t>
        </is>
      </c>
      <c r="C36" s="7" t="inlineStr">
        <is>
          <t>Sweden</t>
        </is>
      </c>
      <c r="D36" s="9" t="n">
        <v>0.6007</v>
      </c>
      <c r="E36" s="9" t="n">
        <v>0.2173</v>
      </c>
      <c r="F36" s="9" t="n">
        <v>0.182</v>
      </c>
      <c r="G36" s="7" t="n">
        <v>1.929</v>
      </c>
      <c r="H36" s="7" t="n">
        <v>0.957</v>
      </c>
    </row>
    <row r="37">
      <c r="A37" s="8" t="inlineStr">
        <is>
          <t>F</t>
        </is>
      </c>
      <c r="B37" s="8" t="inlineStr">
        <is>
          <t>Japan</t>
        </is>
      </c>
      <c r="C37" s="7" t="inlineStr">
        <is>
          <t>Tunisia</t>
        </is>
      </c>
      <c r="D37" s="9" t="n">
        <v>0.7971</v>
      </c>
      <c r="E37" s="9" t="n">
        <v>0.1389</v>
      </c>
      <c r="F37" s="9" t="n">
        <v>0.064</v>
      </c>
      <c r="G37" s="7" t="n">
        <v>2.517</v>
      </c>
      <c r="H37" s="7" t="n">
        <v>0.573</v>
      </c>
    </row>
    <row r="38">
      <c r="A38" s="8" t="inlineStr">
        <is>
          <t>F</t>
        </is>
      </c>
      <c r="B38" s="8" t="inlineStr">
        <is>
          <t>Sweden</t>
        </is>
      </c>
      <c r="C38" s="7" t="inlineStr">
        <is>
          <t>Tunisia</t>
        </is>
      </c>
      <c r="D38" s="9" t="n">
        <v>0.6214</v>
      </c>
      <c r="E38" s="9" t="n">
        <v>0.2109</v>
      </c>
      <c r="F38" s="9" t="n">
        <v>0.1677</v>
      </c>
      <c r="G38" s="7" t="n">
        <v>1.983</v>
      </c>
      <c r="H38" s="7" t="n">
        <v>0.921</v>
      </c>
    </row>
    <row r="39">
      <c r="A39" s="8" t="inlineStr">
        <is>
          <t>G</t>
        </is>
      </c>
      <c r="B39" s="8" t="inlineStr">
        <is>
          <t>Belgium</t>
        </is>
      </c>
      <c r="C39" s="7" t="inlineStr">
        <is>
          <t>Egypt</t>
        </is>
      </c>
      <c r="D39" s="9" t="n">
        <v>0.6186</v>
      </c>
      <c r="E39" s="9" t="n">
        <v>0.2118</v>
      </c>
      <c r="F39" s="9" t="n">
        <v>0.1696</v>
      </c>
      <c r="G39" s="7" t="n">
        <v>1.976</v>
      </c>
      <c r="H39" s="7" t="n">
        <v>0.925</v>
      </c>
    </row>
    <row r="40">
      <c r="A40" s="8" t="inlineStr">
        <is>
          <t>G</t>
        </is>
      </c>
      <c r="B40" s="8" t="inlineStr">
        <is>
          <t>Belgium</t>
        </is>
      </c>
      <c r="C40" s="7" t="inlineStr">
        <is>
          <t>Iran</t>
        </is>
      </c>
      <c r="D40" s="9" t="n">
        <v>0.555</v>
      </c>
      <c r="E40" s="9" t="n">
        <v>0.23</v>
      </c>
      <c r="F40" s="9" t="n">
        <v>0.215</v>
      </c>
      <c r="G40" s="7" t="n">
        <v>1.811</v>
      </c>
      <c r="H40" s="7" t="n">
        <v>1.037</v>
      </c>
    </row>
    <row r="41">
      <c r="A41" s="8" t="inlineStr">
        <is>
          <t>G</t>
        </is>
      </c>
      <c r="B41" s="8" t="inlineStr">
        <is>
          <t>Belgium</t>
        </is>
      </c>
      <c r="C41" s="7" t="inlineStr">
        <is>
          <t>New Zealand</t>
        </is>
      </c>
      <c r="D41" s="9" t="n">
        <v>0.7748</v>
      </c>
      <c r="E41" s="9" t="n">
        <v>0.1498</v>
      </c>
      <c r="F41" s="9" t="n">
        <v>0.07530000000000001</v>
      </c>
      <c r="G41" s="7" t="n">
        <v>2.439</v>
      </c>
      <c r="H41" s="7" t="n">
        <v>0.622</v>
      </c>
    </row>
    <row r="42">
      <c r="A42" s="8" t="inlineStr">
        <is>
          <t>G</t>
        </is>
      </c>
      <c r="B42" s="8" t="inlineStr">
        <is>
          <t>Egypt</t>
        </is>
      </c>
      <c r="C42" s="7" t="inlineStr">
        <is>
          <t>Iran</t>
        </is>
      </c>
      <c r="D42" s="9" t="n">
        <v>0.3094</v>
      </c>
      <c r="E42" s="9" t="n">
        <v>0.2523</v>
      </c>
      <c r="F42" s="9" t="n">
        <v>0.4382</v>
      </c>
      <c r="G42" s="7" t="n">
        <v>1.236</v>
      </c>
      <c r="H42" s="7" t="n">
        <v>1.518</v>
      </c>
    </row>
    <row r="43">
      <c r="A43" s="8" t="inlineStr">
        <is>
          <t>G</t>
        </is>
      </c>
      <c r="B43" s="8" t="inlineStr">
        <is>
          <t>Egypt</t>
        </is>
      </c>
      <c r="C43" s="7" t="inlineStr">
        <is>
          <t>New Zealand</t>
        </is>
      </c>
      <c r="D43" s="9" t="n">
        <v>0.5695</v>
      </c>
      <c r="E43" s="9" t="n">
        <v>0.2262</v>
      </c>
      <c r="F43" s="9" t="n">
        <v>0.2043</v>
      </c>
      <c r="G43" s="7" t="n">
        <v>1.848</v>
      </c>
      <c r="H43" s="7" t="n">
        <v>1.012</v>
      </c>
    </row>
    <row r="44">
      <c r="A44" s="8" t="inlineStr">
        <is>
          <t>G</t>
        </is>
      </c>
      <c r="B44" s="8" t="inlineStr">
        <is>
          <t>Iran</t>
        </is>
      </c>
      <c r="C44" s="7" t="inlineStr">
        <is>
          <t>New Zealand</t>
        </is>
      </c>
      <c r="D44" s="9" t="n">
        <v>0.6322</v>
      </c>
      <c r="E44" s="9" t="n">
        <v>0.2074</v>
      </c>
      <c r="F44" s="9" t="n">
        <v>0.1604</v>
      </c>
      <c r="G44" s="7" t="n">
        <v>2.013</v>
      </c>
      <c r="H44" s="7" t="n">
        <v>0.901</v>
      </c>
    </row>
    <row r="45">
      <c r="A45" s="8" t="inlineStr">
        <is>
          <t>H</t>
        </is>
      </c>
      <c r="B45" s="8" t="inlineStr">
        <is>
          <t>Spain</t>
        </is>
      </c>
      <c r="C45" s="7" t="inlineStr">
        <is>
          <t>Cape Verde</t>
        </is>
      </c>
      <c r="D45" s="9" t="n">
        <v>0.9194</v>
      </c>
      <c r="E45" s="9" t="n">
        <v>0.0672</v>
      </c>
      <c r="F45" s="9" t="n">
        <v>0.0133</v>
      </c>
      <c r="G45" s="7" t="n">
        <v>3.092</v>
      </c>
      <c r="H45" s="7" t="n">
        <v>0.236</v>
      </c>
    </row>
    <row r="46">
      <c r="A46" s="8" t="inlineStr">
        <is>
          <t>H</t>
        </is>
      </c>
      <c r="B46" s="8" t="inlineStr">
        <is>
          <t>Spain</t>
        </is>
      </c>
      <c r="C46" s="7" t="inlineStr">
        <is>
          <t>Saudi Arabia</t>
        </is>
      </c>
      <c r="D46" s="9" t="n">
        <v>0.9225</v>
      </c>
      <c r="E46" s="9" t="n">
        <v>0.06510000000000001</v>
      </c>
      <c r="F46" s="9" t="n">
        <v>0.0124</v>
      </c>
      <c r="G46" s="7" t="n">
        <v>3.112</v>
      </c>
      <c r="H46" s="7" t="n">
        <v>0.225</v>
      </c>
    </row>
    <row r="47">
      <c r="A47" s="8" t="inlineStr">
        <is>
          <t>H</t>
        </is>
      </c>
      <c r="B47" s="8" t="inlineStr">
        <is>
          <t>Spain</t>
        </is>
      </c>
      <c r="C47" s="7" t="inlineStr">
        <is>
          <t>Uruguay</t>
        </is>
      </c>
      <c r="D47" s="9" t="n">
        <v>0.7314000000000001</v>
      </c>
      <c r="E47" s="9" t="n">
        <v>0.1696</v>
      </c>
      <c r="F47" s="9" t="n">
        <v>0.099</v>
      </c>
      <c r="G47" s="7" t="n">
        <v>2.298</v>
      </c>
      <c r="H47" s="7" t="n">
        <v>0.713</v>
      </c>
    </row>
    <row r="48">
      <c r="A48" s="8" t="inlineStr">
        <is>
          <t>H</t>
        </is>
      </c>
      <c r="B48" s="8" t="inlineStr">
        <is>
          <t>Cape Verde</t>
        </is>
      </c>
      <c r="C48" s="7" t="inlineStr">
        <is>
          <t>Saudi Arabia</t>
        </is>
      </c>
      <c r="D48" s="9" t="n">
        <v>0.3827</v>
      </c>
      <c r="E48" s="9" t="n">
        <v>0.2576</v>
      </c>
      <c r="F48" s="9" t="n">
        <v>0.3597</v>
      </c>
      <c r="G48" s="7" t="n">
        <v>1.38</v>
      </c>
      <c r="H48" s="7" t="n">
        <v>1.33</v>
      </c>
    </row>
    <row r="49">
      <c r="A49" s="8" t="inlineStr">
        <is>
          <t>H</t>
        </is>
      </c>
      <c r="B49" s="8" t="inlineStr">
        <is>
          <t>Cape Verde</t>
        </is>
      </c>
      <c r="C49" s="7" t="inlineStr">
        <is>
          <t>Uruguay</t>
        </is>
      </c>
      <c r="D49" s="9" t="n">
        <v>0.0959</v>
      </c>
      <c r="E49" s="9" t="n">
        <v>0.1672</v>
      </c>
      <c r="F49" s="9" t="n">
        <v>0.7369</v>
      </c>
      <c r="G49" s="7" t="n">
        <v>0.702</v>
      </c>
      <c r="H49" s="7" t="n">
        <v>2.315</v>
      </c>
    </row>
    <row r="50">
      <c r="A50" s="8" t="inlineStr">
        <is>
          <t>H</t>
        </is>
      </c>
      <c r="B50" s="8" t="inlineStr">
        <is>
          <t>Saudi Arabia</t>
        </is>
      </c>
      <c r="C50" s="7" t="inlineStr">
        <is>
          <t>Uruguay</t>
        </is>
      </c>
      <c r="D50" s="9" t="n">
        <v>0.0911</v>
      </c>
      <c r="E50" s="9" t="n">
        <v>0.1634</v>
      </c>
      <c r="F50" s="9" t="n">
        <v>0.7455000000000001</v>
      </c>
      <c r="G50" s="7" t="n">
        <v>0.6840000000000001</v>
      </c>
      <c r="H50" s="7" t="n">
        <v>2.342</v>
      </c>
    </row>
    <row r="51">
      <c r="A51" s="8" t="inlineStr">
        <is>
          <t>I</t>
        </is>
      </c>
      <c r="B51" s="8" t="inlineStr">
        <is>
          <t>France</t>
        </is>
      </c>
      <c r="C51" s="7" t="inlineStr">
        <is>
          <t>Senegal</t>
        </is>
      </c>
      <c r="D51" s="9" t="n">
        <v>0.7157</v>
      </c>
      <c r="E51" s="9" t="n">
        <v>0.1763</v>
      </c>
      <c r="F51" s="9" t="n">
        <v>0.108</v>
      </c>
      <c r="G51" s="7" t="n">
        <v>2.25</v>
      </c>
      <c r="H51" s="7" t="n">
        <v>0.744</v>
      </c>
    </row>
    <row r="52">
      <c r="A52" s="8" t="inlineStr">
        <is>
          <t>I</t>
        </is>
      </c>
      <c r="B52" s="8" t="inlineStr">
        <is>
          <t>France</t>
        </is>
      </c>
      <c r="C52" s="7" t="inlineStr">
        <is>
          <t>Iraq</t>
        </is>
      </c>
      <c r="D52" s="9" t="n">
        <v>0.9064</v>
      </c>
      <c r="E52" s="9" t="n">
        <v>0.076</v>
      </c>
      <c r="F52" s="9" t="n">
        <v>0.0176</v>
      </c>
      <c r="G52" s="7" t="n">
        <v>3.01</v>
      </c>
      <c r="H52" s="7" t="n">
        <v>0.28</v>
      </c>
    </row>
    <row r="53">
      <c r="A53" s="8" t="inlineStr">
        <is>
          <t>I</t>
        </is>
      </c>
      <c r="B53" s="8" t="inlineStr">
        <is>
          <t>France</t>
        </is>
      </c>
      <c r="C53" s="7" t="inlineStr">
        <is>
          <t>Norway</t>
        </is>
      </c>
      <c r="D53" s="9" t="n">
        <v>0.6007</v>
      </c>
      <c r="E53" s="9" t="n">
        <v>0.2173</v>
      </c>
      <c r="F53" s="9" t="n">
        <v>0.182</v>
      </c>
      <c r="G53" s="7" t="n">
        <v>1.929</v>
      </c>
      <c r="H53" s="7" t="n">
        <v>0.957</v>
      </c>
    </row>
    <row r="54">
      <c r="A54" s="8" t="inlineStr">
        <is>
          <t>I</t>
        </is>
      </c>
      <c r="B54" s="8" t="inlineStr">
        <is>
          <t>Senegal</t>
        </is>
      </c>
      <c r="C54" s="7" t="inlineStr">
        <is>
          <t>Iraq</t>
        </is>
      </c>
      <c r="D54" s="9" t="n">
        <v>0.718</v>
      </c>
      <c r="E54" s="9" t="n">
        <v>0.1753</v>
      </c>
      <c r="F54" s="9" t="n">
        <v>0.1067</v>
      </c>
      <c r="G54" s="7" t="n">
        <v>2.257</v>
      </c>
      <c r="H54" s="7" t="n">
        <v>0.739</v>
      </c>
    </row>
    <row r="55">
      <c r="A55" s="8" t="inlineStr">
        <is>
          <t>I</t>
        </is>
      </c>
      <c r="B55" s="8" t="inlineStr">
        <is>
          <t>Senegal</t>
        </is>
      </c>
      <c r="C55" s="7" t="inlineStr">
        <is>
          <t>Norway</t>
        </is>
      </c>
      <c r="D55" s="9" t="n">
        <v>0.2528</v>
      </c>
      <c r="E55" s="9" t="n">
        <v>0.2411</v>
      </c>
      <c r="F55" s="9" t="n">
        <v>0.5062</v>
      </c>
      <c r="G55" s="7" t="n">
        <v>1.121</v>
      </c>
      <c r="H55" s="7" t="n">
        <v>1.687</v>
      </c>
    </row>
    <row r="56">
      <c r="A56" s="8" t="inlineStr">
        <is>
          <t>I</t>
        </is>
      </c>
      <c r="B56" s="8" t="inlineStr">
        <is>
          <t>Iraq</t>
        </is>
      </c>
      <c r="C56" s="7" t="inlineStr">
        <is>
          <t>Norway</t>
        </is>
      </c>
      <c r="D56" s="9" t="n">
        <v>0.0589</v>
      </c>
      <c r="E56" s="9" t="n">
        <v>0.1335</v>
      </c>
      <c r="F56" s="9" t="n">
        <v>0.8076</v>
      </c>
      <c r="G56" s="7" t="n">
        <v>0.549</v>
      </c>
      <c r="H56" s="7" t="n">
        <v>2.556</v>
      </c>
    </row>
    <row r="57">
      <c r="A57" s="8" t="inlineStr">
        <is>
          <t>J</t>
        </is>
      </c>
      <c r="B57" s="8" t="inlineStr">
        <is>
          <t>Argentina</t>
        </is>
      </c>
      <c r="C57" s="7" t="inlineStr">
        <is>
          <t>Algeria</t>
        </is>
      </c>
      <c r="D57" s="9" t="n">
        <v>0.8333</v>
      </c>
      <c r="E57" s="9" t="n">
        <v>0.1198</v>
      </c>
      <c r="F57" s="9" t="n">
        <v>0.0469</v>
      </c>
      <c r="G57" s="7" t="n">
        <v>2.656</v>
      </c>
      <c r="H57" s="7" t="n">
        <v>0.487</v>
      </c>
    </row>
    <row r="58">
      <c r="A58" s="8" t="inlineStr">
        <is>
          <t>J</t>
        </is>
      </c>
      <c r="B58" s="8" t="inlineStr">
        <is>
          <t>Argentina</t>
        </is>
      </c>
      <c r="C58" s="7" t="inlineStr">
        <is>
          <t>Austria</t>
        </is>
      </c>
      <c r="D58" s="9" t="n">
        <v>0.7444</v>
      </c>
      <c r="E58" s="9" t="n">
        <v>0.1639</v>
      </c>
      <c r="F58" s="9" t="n">
        <v>0.0917</v>
      </c>
      <c r="G58" s="7" t="n">
        <v>2.339</v>
      </c>
      <c r="H58" s="7" t="n">
        <v>0.6860000000000001</v>
      </c>
    </row>
    <row r="59">
      <c r="A59" s="8" t="inlineStr">
        <is>
          <t>J</t>
        </is>
      </c>
      <c r="B59" s="8" t="inlineStr">
        <is>
          <t>Argentina</t>
        </is>
      </c>
      <c r="C59" s="7" t="inlineStr">
        <is>
          <t>Jordan</t>
        </is>
      </c>
      <c r="D59" s="9" t="n">
        <v>0.8984</v>
      </c>
      <c r="E59" s="9" t="n">
        <v>0.08110000000000001</v>
      </c>
      <c r="F59" s="9" t="n">
        <v>0.0204</v>
      </c>
      <c r="G59" s="7" t="n">
        <v>2.964</v>
      </c>
      <c r="H59" s="7" t="n">
        <v>0.306</v>
      </c>
    </row>
    <row r="60">
      <c r="A60" s="8" t="inlineStr">
        <is>
          <t>J</t>
        </is>
      </c>
      <c r="B60" s="8" t="inlineStr">
        <is>
          <t>Algeria</t>
        </is>
      </c>
      <c r="C60" s="7" t="inlineStr">
        <is>
          <t>Austria</t>
        </is>
      </c>
      <c r="D60" s="9" t="n">
        <v>0.2433</v>
      </c>
      <c r="E60" s="9" t="n">
        <v>0.2386</v>
      </c>
      <c r="F60" s="9" t="n">
        <v>0.5181</v>
      </c>
      <c r="G60" s="7" t="n">
        <v>1.1</v>
      </c>
      <c r="H60" s="7" t="n">
        <v>1.717</v>
      </c>
    </row>
    <row r="61">
      <c r="A61" s="8" t="inlineStr">
        <is>
          <t>J</t>
        </is>
      </c>
      <c r="B61" s="8" t="inlineStr">
        <is>
          <t>Algeria</t>
        </is>
      </c>
      <c r="C61" s="7" t="inlineStr">
        <is>
          <t>Jordan</t>
        </is>
      </c>
      <c r="D61" s="9" t="n">
        <v>0.53</v>
      </c>
      <c r="E61" s="9" t="n">
        <v>0.236</v>
      </c>
      <c r="F61" s="9" t="n">
        <v>0.234</v>
      </c>
      <c r="G61" s="7" t="n">
        <v>1.747</v>
      </c>
      <c r="H61" s="7" t="n">
        <v>1.08</v>
      </c>
    </row>
    <row r="62">
      <c r="A62" s="8" t="inlineStr">
        <is>
          <t>J</t>
        </is>
      </c>
      <c r="B62" s="8" t="inlineStr">
        <is>
          <t>Austria</t>
        </is>
      </c>
      <c r="C62" s="7" t="inlineStr">
        <is>
          <t>Jordan</t>
        </is>
      </c>
      <c r="D62" s="9" t="n">
        <v>0.6661</v>
      </c>
      <c r="E62" s="9" t="n">
        <v>0.1956</v>
      </c>
      <c r="F62" s="9" t="n">
        <v>0.1383</v>
      </c>
      <c r="G62" s="7" t="n">
        <v>2.106</v>
      </c>
      <c r="H62" s="7" t="n">
        <v>0.839</v>
      </c>
    </row>
    <row r="63">
      <c r="A63" s="8" t="inlineStr">
        <is>
          <t>K</t>
        </is>
      </c>
      <c r="B63" s="8" t="inlineStr">
        <is>
          <t>Portugal</t>
        </is>
      </c>
      <c r="C63" s="7" t="inlineStr">
        <is>
          <t>DR Congo</t>
        </is>
      </c>
      <c r="D63" s="9" t="n">
        <v>0.8076</v>
      </c>
      <c r="E63" s="9" t="n">
        <v>0.1335</v>
      </c>
      <c r="F63" s="9" t="n">
        <v>0.0589</v>
      </c>
      <c r="G63" s="7" t="n">
        <v>2.556</v>
      </c>
      <c r="H63" s="7" t="n">
        <v>0.549</v>
      </c>
    </row>
    <row r="64">
      <c r="A64" s="8" t="inlineStr">
        <is>
          <t>K</t>
        </is>
      </c>
      <c r="B64" s="8" t="inlineStr">
        <is>
          <t>Portugal</t>
        </is>
      </c>
      <c r="C64" s="7" t="inlineStr">
        <is>
          <t>Uzbekistan</t>
        </is>
      </c>
      <c r="D64" s="9" t="n">
        <v>0.7486</v>
      </c>
      <c r="E64" s="9" t="n">
        <v>0.162</v>
      </c>
      <c r="F64" s="9" t="n">
        <v>0.08939999999999999</v>
      </c>
      <c r="G64" s="7" t="n">
        <v>2.353</v>
      </c>
      <c r="H64" s="7" t="n">
        <v>0.677</v>
      </c>
    </row>
    <row r="65">
      <c r="A65" s="8" t="inlineStr">
        <is>
          <t>K</t>
        </is>
      </c>
      <c r="B65" s="8" t="inlineStr">
        <is>
          <t>Portugal</t>
        </is>
      </c>
      <c r="C65" s="7" t="inlineStr">
        <is>
          <t>Colombia</t>
        </is>
      </c>
      <c r="D65" s="9" t="n">
        <v>0.3813</v>
      </c>
      <c r="E65" s="9" t="n">
        <v>0.2576</v>
      </c>
      <c r="F65" s="9" t="n">
        <v>0.3611</v>
      </c>
      <c r="G65" s="7" t="n">
        <v>1.376</v>
      </c>
      <c r="H65" s="7" t="n">
        <v>1.332</v>
      </c>
    </row>
    <row r="66">
      <c r="A66" s="8" t="inlineStr">
        <is>
          <t>K</t>
        </is>
      </c>
      <c r="B66" s="8" t="inlineStr">
        <is>
          <t>DR Congo</t>
        </is>
      </c>
      <c r="C66" s="7" t="inlineStr">
        <is>
          <t>Uzbekistan</t>
        </is>
      </c>
      <c r="D66" s="9" t="n">
        <v>0.2874</v>
      </c>
      <c r="E66" s="9" t="n">
        <v>0.2487</v>
      </c>
      <c r="F66" s="9" t="n">
        <v>0.464</v>
      </c>
      <c r="G66" s="7" t="n">
        <v>1.192</v>
      </c>
      <c r="H66" s="7" t="n">
        <v>1.582</v>
      </c>
    </row>
    <row r="67">
      <c r="A67" s="8" t="inlineStr">
        <is>
          <t>K</t>
        </is>
      </c>
      <c r="B67" s="8" t="inlineStr">
        <is>
          <t>DR Congo</t>
        </is>
      </c>
      <c r="C67" s="7" t="inlineStr">
        <is>
          <t>Colombia</t>
        </is>
      </c>
      <c r="D67" s="9" t="n">
        <v>0.0618</v>
      </c>
      <c r="E67" s="9" t="n">
        <v>0.1366</v>
      </c>
      <c r="F67" s="9" t="n">
        <v>0.8015</v>
      </c>
      <c r="G67" s="7" t="n">
        <v>0.5629999999999999</v>
      </c>
      <c r="H67" s="7" t="n">
        <v>2.533</v>
      </c>
    </row>
    <row r="68">
      <c r="A68" s="8" t="inlineStr">
        <is>
          <t>K</t>
        </is>
      </c>
      <c r="B68" s="8" t="inlineStr">
        <is>
          <t>Uzbekistan</t>
        </is>
      </c>
      <c r="C68" s="7" t="inlineStr">
        <is>
          <t>Colombia</t>
        </is>
      </c>
      <c r="D68" s="9" t="n">
        <v>0.0935</v>
      </c>
      <c r="E68" s="9" t="n">
        <v>0.1653</v>
      </c>
      <c r="F68" s="9" t="n">
        <v>0.7412</v>
      </c>
      <c r="G68" s="7" t="n">
        <v>0.6929999999999999</v>
      </c>
      <c r="H68" s="7" t="n">
        <v>2.329</v>
      </c>
    </row>
    <row r="69">
      <c r="A69" s="8" t="inlineStr">
        <is>
          <t>L</t>
        </is>
      </c>
      <c r="B69" s="8" t="inlineStr">
        <is>
          <t>England</t>
        </is>
      </c>
      <c r="C69" s="7" t="inlineStr">
        <is>
          <t>Croatia</t>
        </is>
      </c>
      <c r="D69" s="9" t="n">
        <v>0.5389</v>
      </c>
      <c r="E69" s="9" t="n">
        <v>0.2339</v>
      </c>
      <c r="F69" s="9" t="n">
        <v>0.2272</v>
      </c>
      <c r="G69" s="7" t="n">
        <v>1.77</v>
      </c>
      <c r="H69" s="7" t="n">
        <v>1.065</v>
      </c>
    </row>
    <row r="70">
      <c r="A70" s="8" t="inlineStr">
        <is>
          <t>L</t>
        </is>
      </c>
      <c r="B70" s="8" t="inlineStr">
        <is>
          <t>England</t>
        </is>
      </c>
      <c r="C70" s="7" t="inlineStr">
        <is>
          <t>Ghana</t>
        </is>
      </c>
      <c r="D70" s="9" t="n">
        <v>0.9157999999999999</v>
      </c>
      <c r="E70" s="9" t="n">
        <v>0.0697</v>
      </c>
      <c r="F70" s="9" t="n">
        <v>0.0145</v>
      </c>
      <c r="G70" s="7" t="n">
        <v>3.068</v>
      </c>
      <c r="H70" s="7" t="n">
        <v>0.249</v>
      </c>
    </row>
    <row r="71">
      <c r="A71" s="8" t="inlineStr">
        <is>
          <t>L</t>
        </is>
      </c>
      <c r="B71" s="8" t="inlineStr">
        <is>
          <t>England</t>
        </is>
      </c>
      <c r="C71" s="7" t="inlineStr">
        <is>
          <t>Panama</t>
        </is>
      </c>
      <c r="D71" s="9" t="n">
        <v>0.768</v>
      </c>
      <c r="E71" s="9" t="n">
        <v>0.1531</v>
      </c>
      <c r="F71" s="9" t="n">
        <v>0.0789</v>
      </c>
      <c r="G71" s="7" t="n">
        <v>2.416</v>
      </c>
      <c r="H71" s="7" t="n">
        <v>0.637</v>
      </c>
    </row>
    <row r="72">
      <c r="A72" s="8" t="inlineStr">
        <is>
          <t>L</t>
        </is>
      </c>
      <c r="B72" s="8" t="inlineStr">
        <is>
          <t>Croatia</t>
        </is>
      </c>
      <c r="C72" s="7" t="inlineStr">
        <is>
          <t>Ghana</t>
        </is>
      </c>
      <c r="D72" s="9" t="n">
        <v>0.8567</v>
      </c>
      <c r="E72" s="9" t="n">
        <v>0.1066</v>
      </c>
      <c r="F72" s="9" t="n">
        <v>0.0366</v>
      </c>
      <c r="G72" s="7" t="n">
        <v>2.756</v>
      </c>
      <c r="H72" s="7" t="n">
        <v>0.427</v>
      </c>
    </row>
    <row r="73">
      <c r="A73" s="8" t="inlineStr">
        <is>
          <t>L</t>
        </is>
      </c>
      <c r="B73" s="8" t="inlineStr">
        <is>
          <t>Croatia</t>
        </is>
      </c>
      <c r="C73" s="7" t="inlineStr">
        <is>
          <t>Panama</t>
        </is>
      </c>
      <c r="D73" s="9" t="n">
        <v>0.6375</v>
      </c>
      <c r="E73" s="9" t="n">
        <v>0.2056</v>
      </c>
      <c r="F73" s="9" t="n">
        <v>0.1569</v>
      </c>
      <c r="G73" s="7" t="n">
        <v>2.027</v>
      </c>
      <c r="H73" s="7" t="n">
        <v>0.891</v>
      </c>
    </row>
    <row r="74">
      <c r="A74" s="8" t="inlineStr">
        <is>
          <t>L</t>
        </is>
      </c>
      <c r="B74" s="8" t="inlineStr">
        <is>
          <t>Ghana</t>
        </is>
      </c>
      <c r="C74" s="7" t="inlineStr">
        <is>
          <t>Panama</t>
        </is>
      </c>
      <c r="D74" s="9" t="n">
        <v>0.1258</v>
      </c>
      <c r="E74" s="9" t="n">
        <v>0.1881</v>
      </c>
      <c r="F74" s="9" t="n">
        <v>0.6861</v>
      </c>
      <c r="G74" s="7" t="n">
        <v>0.801</v>
      </c>
      <c r="H74" s="7" t="n">
        <v>2.163</v>
      </c>
    </row>
  </sheetData>
  <mergeCells count="1">
    <mergeCell ref="A1:H1"/>
  </mergeCells>
  <conditionalFormatting sqref="D3:D74">
    <cfRule type="colorScale" priority="1">
      <colorScale>
        <cfvo type="min"/>
        <cfvo type="percentile" val="55"/>
        <cfvo type="max"/>
        <color rgb="00F8696B"/>
        <color rgb="00FFEB84"/>
        <color rgb="0063BE7B"/>
      </colorScale>
    </cfRule>
  </conditionalFormatting>
  <conditionalFormatting sqref="F3:F74">
    <cfRule type="colorScale" priority="2">
      <colorScale>
        <cfvo type="min"/>
        <cfvo type="percentile" val="55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9" customWidth="1" min="4" max="4"/>
    <col width="11" customWidth="1" min="5" max="5"/>
    <col width="18" customWidth="1" min="6" max="6"/>
  </cols>
  <sheetData>
    <row r="1" ht="22" customHeight="1">
      <c r="A1" s="10" t="inlineStr">
        <is>
          <t>MODEL vs MARKET — value board (top = model backs; bottom = model fades)</t>
        </is>
      </c>
    </row>
    <row r="2">
      <c r="A2" s="6" t="inlineStr">
        <is>
          <t>Rank</t>
        </is>
      </c>
      <c r="B2" s="6" t="inlineStr">
        <is>
          <t>Team</t>
        </is>
      </c>
      <c r="C2" s="6" t="inlineStr">
        <is>
          <t>Model</t>
        </is>
      </c>
      <c r="D2" s="6" t="inlineStr">
        <is>
          <t>Market</t>
        </is>
      </c>
      <c r="E2" s="6" t="inlineStr">
        <is>
          <t>Consensus</t>
        </is>
      </c>
      <c r="F2" s="6" t="inlineStr">
        <is>
          <t>Value (Model−Market)</t>
        </is>
      </c>
    </row>
    <row r="3">
      <c r="A3" s="11" t="n">
        <v>3</v>
      </c>
      <c r="B3" s="8" t="inlineStr">
        <is>
          <t>Argentina</t>
        </is>
      </c>
      <c r="C3" s="9" t="n">
        <v>0.21771</v>
      </c>
      <c r="D3" s="9" t="n">
        <v>0.0851815029383869</v>
      </c>
      <c r="E3" s="9" t="n">
        <v>0.1514521025981363</v>
      </c>
      <c r="F3" s="9" t="n">
        <v>0.132528497061613</v>
      </c>
    </row>
    <row r="4">
      <c r="A4" s="11" t="n">
        <v>1</v>
      </c>
      <c r="B4" s="8" t="inlineStr">
        <is>
          <t>Spain</t>
        </is>
      </c>
      <c r="C4" s="9" t="n">
        <v>0.210455</v>
      </c>
      <c r="D4" s="9" t="n">
        <v>0.1419691715639781</v>
      </c>
      <c r="E4" s="9" t="n">
        <v>0.1844702107882586</v>
      </c>
      <c r="F4" s="9" t="n">
        <v>0.0684858284360218</v>
      </c>
    </row>
    <row r="5">
      <c r="A5" s="11" t="n">
        <v>9</v>
      </c>
      <c r="B5" s="8" t="inlineStr">
        <is>
          <t>Colombia</t>
        </is>
      </c>
      <c r="C5" s="9" t="n">
        <v>0.04103</v>
      </c>
      <c r="D5" s="9" t="n">
        <v>0.0185177180300841</v>
      </c>
      <c r="E5" s="9" t="n">
        <v>0.0299605908524108</v>
      </c>
      <c r="F5" s="9" t="n">
        <v>0.0225122819699158</v>
      </c>
    </row>
    <row r="6">
      <c r="A6" s="11" t="n">
        <v>11</v>
      </c>
      <c r="B6" s="8" t="inlineStr">
        <is>
          <t>Mexico</t>
        </is>
      </c>
      <c r="C6" s="9" t="n">
        <v>0.02825</v>
      </c>
      <c r="D6" s="9" t="n">
        <v>0.016702255478115</v>
      </c>
      <c r="E6" s="9" t="n">
        <v>0.023258506577331</v>
      </c>
      <c r="F6" s="9" t="n">
        <v>0.0115477445218849</v>
      </c>
    </row>
    <row r="7">
      <c r="A7" s="11" t="n">
        <v>18</v>
      </c>
      <c r="B7" s="8" t="inlineStr">
        <is>
          <t>Ecuador</t>
        </is>
      </c>
      <c r="C7" s="9" t="n">
        <v>0.01161</v>
      </c>
      <c r="D7" s="9" t="n">
        <v>0.006088931214863</v>
      </c>
      <c r="E7" s="9" t="n">
        <v>0.009053845196011399</v>
      </c>
      <c r="F7" s="9" t="n">
        <v>0.0055210687851369</v>
      </c>
    </row>
    <row r="8">
      <c r="A8" s="11" t="n">
        <v>14</v>
      </c>
      <c r="B8" s="8" t="inlineStr">
        <is>
          <t>Croatia</t>
        </is>
      </c>
      <c r="C8" s="9" t="n">
        <v>0.015595</v>
      </c>
      <c r="D8" s="9" t="n">
        <v>0.011208092491893</v>
      </c>
      <c r="E8" s="9" t="n">
        <v>0.0140103398089759</v>
      </c>
      <c r="F8" s="9" t="n">
        <v>0.0043869075081069</v>
      </c>
    </row>
    <row r="9">
      <c r="A9" s="11" t="n">
        <v>24</v>
      </c>
      <c r="B9" s="8" t="inlineStr">
        <is>
          <t>Canada</t>
        </is>
      </c>
      <c r="C9" s="9" t="n">
        <v>0.004255</v>
      </c>
      <c r="D9" s="9" t="n">
        <v>0.0015524058692635</v>
      </c>
      <c r="E9" s="9" t="n">
        <v>0.0028179394473535</v>
      </c>
      <c r="F9" s="9" t="n">
        <v>0.0027025941307364</v>
      </c>
    </row>
    <row r="10">
      <c r="A10" s="11" t="n">
        <v>20</v>
      </c>
      <c r="B10" s="8" t="inlineStr">
        <is>
          <t>Turkey</t>
        </is>
      </c>
      <c r="C10" s="9" t="n">
        <v>0.00522</v>
      </c>
      <c r="D10" s="9" t="n">
        <v>0.0038609644600525</v>
      </c>
      <c r="E10" s="9" t="n">
        <v>0.0047499861324502</v>
      </c>
      <c r="F10" s="9" t="n">
        <v>0.0013590355399474</v>
      </c>
    </row>
    <row r="11">
      <c r="A11" s="11" t="n">
        <v>22</v>
      </c>
      <c r="B11" s="8" t="inlineStr">
        <is>
          <t>Senegal</t>
        </is>
      </c>
      <c r="C11" s="9" t="n">
        <v>0.004465</v>
      </c>
      <c r="D11" s="9" t="n">
        <v>0.003454942799678</v>
      </c>
      <c r="E11" s="9" t="n">
        <v>0.0041462211879355</v>
      </c>
      <c r="F11" s="9" t="n">
        <v>0.0010100572003219</v>
      </c>
    </row>
    <row r="12">
      <c r="A12" s="11" t="n">
        <v>23</v>
      </c>
      <c r="B12" s="8" t="inlineStr">
        <is>
          <t>Australia</t>
        </is>
      </c>
      <c r="C12" s="9" t="n">
        <v>0.004245</v>
      </c>
      <c r="D12" s="9" t="n">
        <v>0.003454942799678</v>
      </c>
      <c r="E12" s="9" t="n">
        <v>0.0040325352868819</v>
      </c>
      <c r="F12" s="9" t="n">
        <v>0.0007900572003219</v>
      </c>
    </row>
    <row r="13">
      <c r="A13" s="11" t="n">
        <v>21</v>
      </c>
      <c r="B13" s="8" t="inlineStr">
        <is>
          <t>Austria</t>
        </is>
      </c>
      <c r="C13" s="9" t="n">
        <v>0.004745</v>
      </c>
      <c r="D13" s="9" t="n">
        <v>0.0042198766648123</v>
      </c>
      <c r="E13" s="9" t="n">
        <v>0.0046909024014702</v>
      </c>
      <c r="F13" s="9" t="n">
        <v>0.0005251233351876</v>
      </c>
    </row>
    <row r="14">
      <c r="A14" s="11" t="n">
        <v>25</v>
      </c>
      <c r="B14" s="8" t="inlineStr">
        <is>
          <t>South Korea</t>
        </is>
      </c>
      <c r="C14" s="9" t="n">
        <v>0.001925</v>
      </c>
      <c r="D14" s="9" t="n">
        <v>0.001917298209323</v>
      </c>
      <c r="E14" s="9" t="n">
        <v>0.0020025598824802</v>
      </c>
      <c r="F14" s="9" t="n">
        <v>7.70179067695353e-06</v>
      </c>
    </row>
    <row r="15">
      <c r="A15" s="11" t="n">
        <v>48</v>
      </c>
      <c r="B15" s="8" t="inlineStr">
        <is>
          <t>Curacao</t>
        </is>
      </c>
      <c r="C15" s="9" t="n">
        <v>0</v>
      </c>
      <c r="D15" s="9" t="n">
        <v>3.550890117860171e-05</v>
      </c>
      <c r="E15" s="9" t="n">
        <v>1.163046029064336e-07</v>
      </c>
      <c r="F15" s="9" t="n">
        <v>-3.550890117860171e-05</v>
      </c>
    </row>
    <row r="16">
      <c r="A16" s="11" t="n">
        <v>47</v>
      </c>
      <c r="B16" s="8" t="inlineStr">
        <is>
          <t>Qatar</t>
        </is>
      </c>
      <c r="C16" s="9" t="n">
        <v>0</v>
      </c>
      <c r="D16" s="9" t="n">
        <v>4.434525107638925e-05</v>
      </c>
      <c r="E16" s="9" t="n">
        <v>1.285369743901888e-07</v>
      </c>
      <c r="F16" s="9" t="n">
        <v>-4.434525107638925e-05</v>
      </c>
    </row>
    <row r="17">
      <c r="A17" s="11" t="n">
        <v>46</v>
      </c>
      <c r="B17" s="8" t="inlineStr">
        <is>
          <t>Ghana</t>
        </is>
      </c>
      <c r="C17" s="9" t="n">
        <v>0</v>
      </c>
      <c r="D17" s="9" t="n">
        <v>8.930036941853693e-05</v>
      </c>
      <c r="E17" s="9" t="n">
        <v>1.76132541245362e-07</v>
      </c>
      <c r="F17" s="9" t="n">
        <v>-8.930036941853693e-05</v>
      </c>
    </row>
    <row r="18">
      <c r="A18" s="11" t="n">
        <v>45</v>
      </c>
      <c r="B18" s="8" t="inlineStr">
        <is>
          <t>South Africa</t>
        </is>
      </c>
      <c r="C18" s="9" t="n">
        <v>0</v>
      </c>
      <c r="D18" s="9" t="n">
        <v>9.029812858690964e-05</v>
      </c>
      <c r="E18" s="9" t="n">
        <v>1.770154886179945e-07</v>
      </c>
      <c r="F18" s="9" t="n">
        <v>-9.029812858690964e-05</v>
      </c>
    </row>
    <row r="19">
      <c r="A19" s="11" t="n">
        <v>44</v>
      </c>
      <c r="B19" s="8" t="inlineStr">
        <is>
          <t>Haiti</t>
        </is>
      </c>
      <c r="C19" s="9" t="n">
        <v>5e-06</v>
      </c>
      <c r="D19" s="9" t="n">
        <v>0.0001192109381695</v>
      </c>
      <c r="E19" s="9" t="n">
        <v>2.171348090871139e-05</v>
      </c>
      <c r="F19" s="9" t="n">
        <v>-0.0001142109381695</v>
      </c>
    </row>
    <row r="20">
      <c r="A20" s="11" t="n">
        <v>41</v>
      </c>
      <c r="B20" s="8" t="inlineStr">
        <is>
          <t>New Zealand</t>
        </is>
      </c>
      <c r="C20" s="9" t="n">
        <v>1e-05</v>
      </c>
      <c r="D20" s="9" t="n">
        <v>0.0001901020779489</v>
      </c>
      <c r="E20" s="9" t="n">
        <v>3.921981542051676e-05</v>
      </c>
      <c r="F20" s="9" t="n">
        <v>-0.0001801020779489</v>
      </c>
    </row>
    <row r="21">
      <c r="A21" s="11" t="n">
        <v>40</v>
      </c>
      <c r="B21" s="8" t="inlineStr">
        <is>
          <t>Tunisia</t>
        </is>
      </c>
      <c r="C21" s="9" t="n">
        <v>1e-05</v>
      </c>
      <c r="D21" s="9" t="n">
        <v>0.0002054779970798</v>
      </c>
      <c r="E21" s="9" t="n">
        <v>4.061704045897128e-05</v>
      </c>
      <c r="F21" s="9" t="n">
        <v>-0.0001954779970798</v>
      </c>
    </row>
    <row r="22">
      <c r="A22" s="11" t="n">
        <v>39</v>
      </c>
      <c r="B22" s="8" t="inlineStr">
        <is>
          <t>Iraq</t>
        </is>
      </c>
      <c r="C22" s="9" t="n">
        <v>2e-05</v>
      </c>
      <c r="D22" s="9" t="n">
        <v>0.000222097558004</v>
      </c>
      <c r="E22" s="9" t="n">
        <v>6.158457934951603e-05</v>
      </c>
      <c r="F22" s="9" t="n">
        <v>-0.000202097558004</v>
      </c>
    </row>
    <row r="23">
      <c r="A23" s="11" t="n">
        <v>38</v>
      </c>
      <c r="B23" s="8" t="inlineStr">
        <is>
          <t>Saudi Arabia</t>
        </is>
      </c>
      <c r="C23" s="9" t="n">
        <v>2.5e-05</v>
      </c>
      <c r="D23" s="9" t="n">
        <v>0.0002374087650414</v>
      </c>
      <c r="E23" s="9" t="n">
        <v>7.174659143836021e-05</v>
      </c>
      <c r="F23" s="9" t="n">
        <v>-0.0002124087650414</v>
      </c>
    </row>
    <row r="24">
      <c r="A24" s="11" t="n">
        <v>43</v>
      </c>
      <c r="B24" s="8" t="inlineStr">
        <is>
          <t>Cape Verde</t>
        </is>
      </c>
      <c r="C24" s="9" t="n">
        <v>5e-06</v>
      </c>
      <c r="D24" s="9" t="n">
        <v>0.0002594780962077</v>
      </c>
      <c r="E24" s="9" t="n">
        <v>3.081457236459391e-05</v>
      </c>
      <c r="F24" s="9" t="n">
        <v>-0.0002544780962077</v>
      </c>
    </row>
    <row r="25">
      <c r="A25" s="11" t="n">
        <v>37</v>
      </c>
      <c r="B25" s="8" t="inlineStr">
        <is>
          <t>Bosnia and Herzegovina</t>
        </is>
      </c>
      <c r="C25" s="9" t="n">
        <v>2.5e-05</v>
      </c>
      <c r="D25" s="9" t="n">
        <v>0.000289971720433</v>
      </c>
      <c r="E25" s="9" t="n">
        <v>7.850462356293808e-05</v>
      </c>
      <c r="F25" s="9" t="n">
        <v>-0.000264971720433</v>
      </c>
    </row>
    <row r="26">
      <c r="A26" s="11" t="n">
        <v>26</v>
      </c>
      <c r="B26" s="8" t="inlineStr">
        <is>
          <t>Scotland</t>
        </is>
      </c>
      <c r="C26" s="9" t="n">
        <v>0.001785</v>
      </c>
      <c r="D26" s="9" t="n">
        <v>0.0020955287355581</v>
      </c>
      <c r="E26" s="9" t="n">
        <v>0.0019995123008902</v>
      </c>
      <c r="F26" s="9" t="n">
        <v>-0.0003105287355581</v>
      </c>
    </row>
    <row r="27">
      <c r="A27" s="11" t="n">
        <v>36</v>
      </c>
      <c r="B27" s="8" t="inlineStr">
        <is>
          <t>DR Congo</t>
        </is>
      </c>
      <c r="C27" s="9" t="n">
        <v>6e-05</v>
      </c>
      <c r="D27" s="9" t="n">
        <v>0.0004325869741595</v>
      </c>
      <c r="E27" s="9" t="n">
        <v>0.0001521212853548</v>
      </c>
      <c r="F27" s="9" t="n">
        <v>-0.0003725869741595</v>
      </c>
    </row>
    <row r="28">
      <c r="A28" s="11" t="n">
        <v>42</v>
      </c>
      <c r="B28" s="8" t="inlineStr">
        <is>
          <t>Jordan</t>
        </is>
      </c>
      <c r="C28" s="9" t="n">
        <v>5e-06</v>
      </c>
      <c r="D28" s="9" t="n">
        <v>0.0004374202981692</v>
      </c>
      <c r="E28" s="9" t="n">
        <v>3.898043965472749e-05</v>
      </c>
      <c r="F28" s="9" t="n">
        <v>-0.0004324202981692</v>
      </c>
    </row>
    <row r="29">
      <c r="A29" s="11" t="n">
        <v>33</v>
      </c>
      <c r="B29" s="8" t="inlineStr">
        <is>
          <t>Czech Republic</t>
        </is>
      </c>
      <c r="C29" s="9" t="n">
        <v>0.00036</v>
      </c>
      <c r="D29" s="9" t="n">
        <v>0.0008425643752873</v>
      </c>
      <c r="E29" s="9" t="n">
        <v>0.0005501073669495</v>
      </c>
      <c r="F29" s="9" t="n">
        <v>-0.0004825643752873</v>
      </c>
    </row>
    <row r="30">
      <c r="A30" s="11" t="n">
        <v>28</v>
      </c>
      <c r="B30" s="8" t="inlineStr">
        <is>
          <t>Iran</t>
        </is>
      </c>
      <c r="C30" s="9" t="n">
        <v>0.000875</v>
      </c>
      <c r="D30" s="9" t="n">
        <v>0.001373804198687</v>
      </c>
      <c r="E30" s="9" t="n">
        <v>0.0011171740243174</v>
      </c>
      <c r="F30" s="9" t="n">
        <v>-0.0004988041986869999</v>
      </c>
    </row>
    <row r="31">
      <c r="A31" s="11" t="n">
        <v>34</v>
      </c>
      <c r="B31" s="8" t="inlineStr">
        <is>
          <t>Egypt</t>
        </is>
      </c>
      <c r="C31" s="9" t="n">
        <v>0.000305</v>
      </c>
      <c r="D31" s="9" t="n">
        <v>0.0008332543669456</v>
      </c>
      <c r="E31" s="9" t="n">
        <v>0.0004996669130056</v>
      </c>
      <c r="F31" s="9" t="n">
        <v>-0.0005282543669456</v>
      </c>
    </row>
    <row r="32">
      <c r="A32" s="11" t="n">
        <v>35</v>
      </c>
      <c r="B32" s="8" t="inlineStr">
        <is>
          <t>Uzbekistan</t>
        </is>
      </c>
      <c r="C32" s="9" t="n">
        <v>0.000275</v>
      </c>
      <c r="D32" s="9" t="n">
        <v>0.0008614976182988999</v>
      </c>
      <c r="E32" s="9" t="n">
        <v>0.0004791483427511</v>
      </c>
      <c r="F32" s="9" t="n">
        <v>-0.0005864976182989</v>
      </c>
    </row>
    <row r="33">
      <c r="A33" s="11" t="n">
        <v>29</v>
      </c>
      <c r="B33" s="8" t="inlineStr">
        <is>
          <t>Sweden</t>
        </is>
      </c>
      <c r="C33" s="9" t="n">
        <v>0.00077</v>
      </c>
      <c r="D33" s="9" t="n">
        <v>0.0013586241971051</v>
      </c>
      <c r="E33" s="9" t="n">
        <v>0.0010361450488844</v>
      </c>
      <c r="F33" s="9" t="n">
        <v>-0.0005886241971051</v>
      </c>
    </row>
    <row r="34">
      <c r="A34" s="11" t="n">
        <v>27</v>
      </c>
      <c r="B34" s="8" t="inlineStr">
        <is>
          <t>Paraguay</t>
        </is>
      </c>
      <c r="C34" s="9" t="n">
        <v>0.001155</v>
      </c>
      <c r="D34" s="9" t="n">
        <v>0.0017936458672103</v>
      </c>
      <c r="E34" s="9" t="n">
        <v>0.0014674213131943</v>
      </c>
      <c r="F34" s="9" t="n">
        <v>-0.0006386458672103</v>
      </c>
    </row>
    <row r="35">
      <c r="A35" s="11" t="n">
        <v>32</v>
      </c>
      <c r="B35" s="8" t="inlineStr">
        <is>
          <t>Panama</t>
        </is>
      </c>
      <c r="C35" s="9" t="n">
        <v>0.000375</v>
      </c>
      <c r="D35" s="9" t="n">
        <v>0.0010291104519034</v>
      </c>
      <c r="E35" s="9" t="n">
        <v>0.0006155985027995</v>
      </c>
      <c r="F35" s="9" t="n">
        <v>-0.0006541104519034</v>
      </c>
    </row>
    <row r="36">
      <c r="A36" s="11" t="n">
        <v>31</v>
      </c>
      <c r="B36" s="8" t="inlineStr">
        <is>
          <t>Ivory Coast</t>
        </is>
      </c>
      <c r="C36" s="9" t="n">
        <v>0.00053</v>
      </c>
      <c r="D36" s="9" t="n">
        <v>0.0011890316479125</v>
      </c>
      <c r="E36" s="9" t="n">
        <v>0.0007946116114396</v>
      </c>
      <c r="F36" s="9" t="n">
        <v>-0.0006590316479125</v>
      </c>
    </row>
    <row r="37">
      <c r="A37" s="11" t="n">
        <v>30</v>
      </c>
      <c r="B37" s="8" t="inlineStr">
        <is>
          <t>Algeria</t>
        </is>
      </c>
      <c r="C37" s="9" t="n">
        <v>0.00065</v>
      </c>
      <c r="D37" s="9" t="n">
        <v>0.0014203694479469</v>
      </c>
      <c r="E37" s="9" t="n">
        <v>0.0009630587444989</v>
      </c>
      <c r="F37" s="9" t="n">
        <v>-0.0007703694479469</v>
      </c>
    </row>
    <row r="38">
      <c r="A38" s="11" t="n">
        <v>12</v>
      </c>
      <c r="B38" s="8" t="inlineStr">
        <is>
          <t>Japan</t>
        </is>
      </c>
      <c r="C38" s="9" t="n">
        <v>0.016115</v>
      </c>
      <c r="D38" s="9" t="n">
        <v>0.0185177180300841</v>
      </c>
      <c r="E38" s="9" t="n">
        <v>0.0178791760464256</v>
      </c>
      <c r="F38" s="9" t="n">
        <v>-0.0024027180300841</v>
      </c>
    </row>
    <row r="39">
      <c r="A39" s="11" t="n">
        <v>16</v>
      </c>
      <c r="B39" s="8" t="inlineStr">
        <is>
          <t>Switzerland</t>
        </is>
      </c>
      <c r="C39" s="9" t="n">
        <v>0.007625</v>
      </c>
      <c r="D39" s="9" t="n">
        <v>0.010516234930665</v>
      </c>
      <c r="E39" s="9" t="n">
        <v>0.009184538450410199</v>
      </c>
      <c r="F39" s="9" t="n">
        <v>-0.002891234930665</v>
      </c>
    </row>
    <row r="40">
      <c r="A40" s="11" t="n">
        <v>19</v>
      </c>
      <c r="B40" s="8" t="inlineStr">
        <is>
          <t>Uruguay</t>
        </is>
      </c>
      <c r="C40" s="9" t="n">
        <v>0.00694</v>
      </c>
      <c r="D40" s="9" t="n">
        <v>0.011208092491893</v>
      </c>
      <c r="E40" s="9" t="n">
        <v>0.0089760403422616</v>
      </c>
      <c r="F40" s="9" t="n">
        <v>-0.004268092491893</v>
      </c>
    </row>
    <row r="41">
      <c r="A41" s="11" t="n">
        <v>10</v>
      </c>
      <c r="B41" s="8" t="inlineStr">
        <is>
          <t>Norway</t>
        </is>
      </c>
      <c r="C41" s="9" t="n">
        <v>0.020995</v>
      </c>
      <c r="D41" s="9" t="n">
        <v>0.0304219653351381</v>
      </c>
      <c r="E41" s="9" t="n">
        <v>0.0258658896636625</v>
      </c>
      <c r="F41" s="9" t="n">
        <v>-0.0094269653351381</v>
      </c>
    </row>
    <row r="42">
      <c r="A42" s="11" t="n">
        <v>2</v>
      </c>
      <c r="B42" s="8" t="inlineStr">
        <is>
          <t>France</t>
        </is>
      </c>
      <c r="C42" s="9" t="n">
        <v>0.158445</v>
      </c>
      <c r="D42" s="9" t="n">
        <v>0.1703630058767738</v>
      </c>
      <c r="E42" s="9" t="n">
        <v>0.1706262588404223</v>
      </c>
      <c r="F42" s="9" t="n">
        <v>-0.0119180058767738</v>
      </c>
    </row>
    <row r="43">
      <c r="A43" s="11" t="n">
        <v>13</v>
      </c>
      <c r="B43" s="8" t="inlineStr">
        <is>
          <t>Belgium</t>
        </is>
      </c>
      <c r="C43" s="9" t="n">
        <v>0.010285</v>
      </c>
      <c r="D43" s="9" t="n">
        <v>0.0236615285939963</v>
      </c>
      <c r="E43" s="9" t="n">
        <v>0.0156157357936924</v>
      </c>
      <c r="F43" s="9" t="n">
        <v>-0.0133765285939963</v>
      </c>
    </row>
    <row r="44">
      <c r="A44" s="11" t="n">
        <v>15</v>
      </c>
      <c r="B44" s="8" t="inlineStr">
        <is>
          <t>United States</t>
        </is>
      </c>
      <c r="C44" s="9" t="n">
        <v>0.005225</v>
      </c>
      <c r="D44" s="9" t="n">
        <v>0.0207759763264358</v>
      </c>
      <c r="E44" s="9" t="n">
        <v>0.0101598701156987</v>
      </c>
      <c r="F44" s="9" t="n">
        <v>-0.0155509763264358</v>
      </c>
    </row>
    <row r="45">
      <c r="A45" s="11" t="n">
        <v>17</v>
      </c>
      <c r="B45" s="8" t="inlineStr">
        <is>
          <t>Morocco</t>
        </is>
      </c>
      <c r="C45" s="9" t="n">
        <v>0.004325</v>
      </c>
      <c r="D45" s="9" t="n">
        <v>0.0207759763264358</v>
      </c>
      <c r="E45" s="9" t="n">
        <v>0.009160881037844199</v>
      </c>
      <c r="F45" s="9" t="n">
        <v>-0.0164509763264358</v>
      </c>
    </row>
    <row r="46">
      <c r="A46" s="11" t="n">
        <v>8</v>
      </c>
      <c r="B46" s="8" t="inlineStr">
        <is>
          <t>Netherlands</t>
        </is>
      </c>
      <c r="C46" s="9" t="n">
        <v>0.0267</v>
      </c>
      <c r="D46" s="9" t="n">
        <v>0.044832369967572</v>
      </c>
      <c r="E46" s="9" t="n">
        <v>0.0351764734840885</v>
      </c>
      <c r="F46" s="9" t="n">
        <v>-0.018132369967572</v>
      </c>
    </row>
    <row r="47">
      <c r="A47" s="11" t="n">
        <v>4</v>
      </c>
      <c r="B47" s="8" t="inlineStr">
        <is>
          <t>England</t>
        </is>
      </c>
      <c r="C47" s="9" t="n">
        <v>0.076045</v>
      </c>
      <c r="D47" s="9" t="n">
        <v>0.1064768786729836</v>
      </c>
      <c r="E47" s="9" t="n">
        <v>0.0923407495031531</v>
      </c>
      <c r="F47" s="9" t="n">
        <v>-0.0304318786729836</v>
      </c>
    </row>
    <row r="48">
      <c r="A48" s="11" t="n">
        <v>7</v>
      </c>
      <c r="B48" s="8" t="inlineStr">
        <is>
          <t>Germany</t>
        </is>
      </c>
      <c r="C48" s="9" t="n">
        <v>0.02376</v>
      </c>
      <c r="D48" s="9" t="n">
        <v>0.0567876686255912</v>
      </c>
      <c r="E48" s="9" t="n">
        <v>0.0367817959065452</v>
      </c>
      <c r="F48" s="9" t="n">
        <v>-0.0330276686255912</v>
      </c>
    </row>
    <row r="49">
      <c r="A49" s="11" t="n">
        <v>6</v>
      </c>
      <c r="B49" s="8" t="inlineStr">
        <is>
          <t>Brazil</t>
        </is>
      </c>
      <c r="C49" s="9" t="n">
        <v>0.04083</v>
      </c>
      <c r="D49" s="9" t="n">
        <v>0.07743772994398811</v>
      </c>
      <c r="E49" s="9" t="n">
        <v>0.0569271776341874</v>
      </c>
      <c r="F49" s="9" t="n">
        <v>-0.0366077299439881</v>
      </c>
    </row>
    <row r="50">
      <c r="A50" s="11" t="n">
        <v>5</v>
      </c>
      <c r="B50" s="8" t="inlineStr">
        <is>
          <t>Portugal</t>
        </is>
      </c>
      <c r="C50" s="9" t="n">
        <v>0.04596</v>
      </c>
      <c r="D50" s="9" t="n">
        <v>0.0946461143759854</v>
      </c>
      <c r="E50" s="9" t="n">
        <v>0.0666013284350602</v>
      </c>
      <c r="F50" s="9" t="n">
        <v>-0.0486861143759854</v>
      </c>
    </row>
  </sheetData>
  <mergeCells count="1">
    <mergeCell ref="A1:F1"/>
  </mergeCells>
  <conditionalFormatting sqref="F3:F50">
    <cfRule type="colorScale" priority="1">
      <colorScale>
        <cfvo type="min"/>
        <cfvo type="percentile" val="55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9" customWidth="1" min="5" max="5"/>
    <col width="9" customWidth="1" min="6" max="6"/>
    <col width="8" customWidth="1" min="7" max="7"/>
  </cols>
  <sheetData>
    <row r="1" ht="22" customHeight="1">
      <c r="A1" s="10" t="inlineStr">
        <is>
          <t>SENSITIVITY — title odds (%) vs the form-uncertainty parameter</t>
        </is>
      </c>
    </row>
    <row r="2">
      <c r="A2" s="6" t="inlineStr">
        <is>
          <t>sigma_form (Elo)</t>
        </is>
      </c>
      <c r="B2" s="6" t="inlineStr">
        <is>
          <t>Spain</t>
        </is>
      </c>
      <c r="C2" s="6" t="inlineStr">
        <is>
          <t>Argentina</t>
        </is>
      </c>
      <c r="D2" s="6" t="inlineStr">
        <is>
          <t>France</t>
        </is>
      </c>
      <c r="E2" s="6" t="inlineStr">
        <is>
          <t>England</t>
        </is>
      </c>
      <c r="F2" s="6" t="inlineStr">
        <is>
          <t>Portugal</t>
        </is>
      </c>
      <c r="G2" s="6" t="inlineStr">
        <is>
          <t>Brazil</t>
        </is>
      </c>
    </row>
    <row r="3">
      <c r="A3" s="8" t="n">
        <v>0</v>
      </c>
      <c r="B3" s="8" t="n">
        <v>23.51</v>
      </c>
      <c r="C3" s="7" t="n">
        <v>24.91</v>
      </c>
      <c r="D3" s="7" t="n">
        <v>17.74</v>
      </c>
      <c r="E3" s="7" t="n">
        <v>7.29</v>
      </c>
      <c r="F3" s="7" t="n">
        <v>4.02</v>
      </c>
      <c r="G3" s="7" t="n">
        <v>3.66</v>
      </c>
    </row>
    <row r="4">
      <c r="A4" s="8" t="n">
        <v>40</v>
      </c>
      <c r="B4" s="8" t="n">
        <v>22.49</v>
      </c>
      <c r="C4" s="7" t="n">
        <v>23.42</v>
      </c>
      <c r="D4" s="7" t="n">
        <v>17.11</v>
      </c>
      <c r="E4" s="7" t="n">
        <v>7.52</v>
      </c>
      <c r="F4" s="7" t="n">
        <v>4.32</v>
      </c>
      <c r="G4" s="7" t="n">
        <v>3.81</v>
      </c>
    </row>
    <row r="5">
      <c r="A5" s="8" t="n">
        <v>70</v>
      </c>
      <c r="B5" s="8" t="n">
        <v>21.21</v>
      </c>
      <c r="C5" s="7" t="n">
        <v>21.82</v>
      </c>
      <c r="D5" s="7" t="n">
        <v>15.64</v>
      </c>
      <c r="E5" s="7" t="n">
        <v>7.63</v>
      </c>
      <c r="F5" s="7" t="n">
        <v>4.46</v>
      </c>
      <c r="G5" s="7" t="n">
        <v>4</v>
      </c>
    </row>
    <row r="6">
      <c r="A6" s="8" t="n">
        <v>100</v>
      </c>
      <c r="B6" s="8" t="n">
        <v>19.26</v>
      </c>
      <c r="C6" s="7" t="n">
        <v>19.46</v>
      </c>
      <c r="D6" s="7" t="n">
        <v>14.41</v>
      </c>
      <c r="E6" s="7" t="n">
        <v>7.51</v>
      </c>
      <c r="F6" s="7" t="n">
        <v>4.74</v>
      </c>
      <c r="G6" s="7" t="n">
        <v>4.26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3" t="inlineStr">
        <is>
          <t>METHODOLOGY, ASSUMPTIONS &amp; SOURCES</t>
        </is>
      </c>
    </row>
    <row r="4">
      <c r="B4" s="14" t="inlineStr">
        <is>
          <t>DEVELOPMENT CHAIN</t>
        </is>
      </c>
    </row>
    <row r="5">
      <c r="B5" s="15" t="inlineStr">
        <is>
          <t>1. Strength rating R_i = World Football Elo (eloratings.net, current mid-June 2026 snapshot).</t>
        </is>
      </c>
    </row>
    <row r="6">
      <c r="B6" s="15" t="inlineStr">
        <is>
          <t>2. Elo→expected score:  E_A = 1 / (1 + 10^(−(R_A−R_B)/400)).</t>
        </is>
      </c>
    </row>
    <row r="7">
      <c r="B7" s="15" t="inlineStr">
        <is>
          <t>3. Goal model: independent Poisson; total τ(d)=2.70+0.0012·|d|, supremacy σ(d) solved so the</t>
        </is>
      </c>
    </row>
    <row r="8">
      <c r="B8" s="15" t="inlineStr">
        <is>
          <t xml:space="preserve">   Skellam win/draw/loss reproduces E_A exactly (calibration max error 0.4%).</t>
        </is>
      </c>
    </row>
    <row r="9">
      <c r="B9" s="15" t="inlineStr">
        <is>
          <t>4. Group stage solved EXACTLY: each team's win count is Poisson-binomial(p1,p2,p3); the full</t>
        </is>
      </c>
    </row>
    <row r="10">
      <c r="B10" s="15" t="inlineStr">
        <is>
          <t xml:space="preserve">   points distribution from enumerating all 3^6=729 result combinations (verified vs DFT &amp; MC).</t>
        </is>
      </c>
    </row>
    <row r="11">
      <c r="B11" s="15" t="inlineStr">
        <is>
          <t>5. Knockout: 200,000 Monte-Carlo replications over FIFA's fixed Round-of-32 bracket, including the</t>
        </is>
      </c>
    </row>
    <row r="12">
      <c r="B12" s="15" t="inlineStr">
        <is>
          <t xml:space="preserve">   best-third-place 8-of-12 combination assignment (bipartite SDR; all 495 patterns valid).</t>
        </is>
      </c>
    </row>
    <row r="13">
      <c r="B13" s="15" t="inlineStr">
        <is>
          <t>6. Extra time = goal rate × 30/90; shootout ≈ coin flip with a tiny Elo edge (±0.12 max).</t>
        </is>
      </c>
    </row>
    <row r="14">
      <c r="B14" s="15" t="inlineStr">
        <is>
          <t>7. Uncertainty: per-tournament team 'form' random effect σ=70 Elo (rating error + injuries + draw luck).</t>
        </is>
      </c>
    </row>
    <row r="15">
      <c r="B15" s="15" t="inlineStr">
        <is>
          <t xml:space="preserve">   Host advantage +65 Elo for USA / Mexico / Canada. Seed=2026 (fully reproducible).</t>
        </is>
      </c>
    </row>
    <row r="16">
      <c r="B16" s="15" t="inlineStr"/>
    </row>
    <row r="17">
      <c r="B17" s="14" t="inlineStr">
        <is>
          <t>KEY ASSUMPTIONS / LIMITATIONS</t>
        </is>
      </c>
    </row>
    <row r="18">
      <c r="B18" s="15" t="inlineStr">
        <is>
          <t>• Elo encodes results only — not roster ageing, injuries, or tactical match-ups (hence form σ &amp; market blend).</t>
        </is>
      </c>
    </row>
    <row r="19">
      <c r="B19" s="15" t="inlineStr">
        <is>
          <t>• Independent Poisson (no explicit Dixon-Coles correlation) keeps the exact Elo calibration intact.</t>
        </is>
      </c>
    </row>
    <row r="20">
      <c r="B20" s="15" t="inlineStr">
        <is>
          <t>• Third-place routing follows FIFA eligibility constraints; exact 495-row table has negligible effect on title odds.</t>
        </is>
      </c>
    </row>
    <row r="21">
      <c r="B21" s="15" t="inlineStr">
        <is>
          <t>• Monte-Carlo standard error on a 20% probability at N=200k is ≈0.09 percentage points.</t>
        </is>
      </c>
    </row>
    <row r="22">
      <c r="B22" s="15" t="inlineStr"/>
    </row>
    <row r="23">
      <c r="B23" s="14" t="inlineStr">
        <is>
          <t>PRIMARY DATA SOURCES</t>
        </is>
      </c>
    </row>
    <row r="24">
      <c r="B24" s="15" t="inlineStr">
        <is>
          <t>• World Football Elo Ratings — eloratings.net (World.tsv, retrieved 17 Jun 2026).</t>
        </is>
      </c>
    </row>
    <row r="25">
      <c r="B25" s="15" t="inlineStr">
        <is>
          <t>• FIFA Men's World Ranking, 11 Jun 2026 (cross-reference).</t>
        </is>
      </c>
    </row>
    <row r="26">
      <c r="B26" s="15" t="inlineStr">
        <is>
          <t>• 2026 FIFA World Cup final draw — Wikipedia &amp; simbye.com (groups cross-validated).</t>
        </is>
      </c>
    </row>
    <row r="27">
      <c r="B27" s="15" t="inlineStr">
        <is>
          <t>• Knockout bracket — FIFA fixed match schedule (Wikipedia 2026 WC knockout stage).</t>
        </is>
      </c>
    </row>
    <row r="28">
      <c r="B28" s="15" t="inlineStr">
        <is>
          <t>• Market odds — FOX Sports / consensus sportsbooks, 17 Jun 2026 (de-vigged).</t>
        </is>
      </c>
    </row>
    <row r="29">
      <c r="B29" s="15" t="inlineStr">
        <is>
          <t>• Benchmarks — Nate Silver 'PELE' model; Kimi 300-agent qualitative forecast (this repo).</t>
        </is>
      </c>
    </row>
    <row r="30">
      <c r="B30" s="15" t="inlineStr"/>
    </row>
    <row r="31">
      <c r="B31" s="15" t="inlineStr">
        <is>
          <t>SELECTED LITERATURE (modelling grounding)</t>
        </is>
      </c>
    </row>
    <row r="32">
      <c r="B32" s="15" t="inlineStr">
        <is>
          <t>• Dixon &amp; Coles (1997) Applied Statistics 46(2) — bivariate Poisson football scores.</t>
        </is>
      </c>
    </row>
    <row r="33">
      <c r="B33" s="15" t="inlineStr">
        <is>
          <t>• Hvattum &amp; Arntzen (2010) Int. J. Forecasting — Elo ratings for football forecasting.</t>
        </is>
      </c>
    </row>
    <row r="34">
      <c r="B34" s="15" t="inlineStr">
        <is>
          <t>• Maher (1982) Statistica Neerlandica — Poisson models for football.</t>
        </is>
      </c>
    </row>
    <row r="35">
      <c r="B35" s="15" t="inlineStr">
        <is>
          <t>• Le Cam (1960) — Poisson-binomial / Poisson approximation theory.</t>
        </is>
      </c>
    </row>
  </sheetData>
  <mergeCells count="1">
    <mergeCell ref="B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2026-06-17T19:54:59Z</dcterms:created>
  <dcterms:modified xsi:type="dcterms:W3CDTF">2026-06-17T19:54:59Z</dcterms:modified>
</cp:coreProperties>
</file>